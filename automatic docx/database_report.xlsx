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D:\GitHub\Sala_Situacion_Dinagua\automatic docx\"/>
    </mc:Choice>
  </mc:AlternateContent>
  <xr:revisionPtr revIDLastSave="0" documentId="13_ncr:1_{31ABBF62-9016-4C87-AA76-EA4C14BA94E2}" xr6:coauthVersionLast="47" xr6:coauthVersionMax="47" xr10:uidLastSave="{00000000-0000-0000-0000-000000000000}"/>
  <bookViews>
    <workbookView xWindow="-120" yWindow="-120" windowWidth="29040" windowHeight="15720" activeTab="5" xr2:uid="{83108E16-E9D6-4CCB-B5BE-A67101359CD3}"/>
  </bookViews>
  <sheets>
    <sheet name="INICIO" sheetId="1" r:id="rId1"/>
    <sheet name="YI" sheetId="2" r:id="rId2"/>
    <sheet name="CUAREIM" sheetId="4" r:id="rId3"/>
    <sheet name="SANTALUCIA" sheetId="5" r:id="rId4"/>
    <sheet name="SANJOSE" sheetId="11" r:id="rId5"/>
    <sheet name="URUGUAY" sheetId="7" r:id="rId6"/>
    <sheet name="NEGRO" sheetId="6" r:id="rId7"/>
    <sheet name="OLIMAR" sheetId="10" r:id="rId8"/>
    <sheet name="Tablas" sheetId="8" r:id="rId9"/>
    <sheet name="log"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5" l="1"/>
  <c r="C6" i="5" s="1"/>
  <c r="C5" i="11"/>
  <c r="C6" i="11" s="1"/>
  <c r="C5" i="10"/>
  <c r="C6" i="10" s="1"/>
  <c r="C14" i="2"/>
  <c r="C15" i="2" s="1"/>
  <c r="I23" i="8" s="1"/>
  <c r="C4" i="2"/>
  <c r="C5" i="2" s="1"/>
  <c r="K26" i="8"/>
  <c r="K24" i="8"/>
  <c r="K25" i="8"/>
  <c r="K30" i="8"/>
  <c r="K23" i="8"/>
  <c r="J26" i="8"/>
  <c r="J30" i="8"/>
  <c r="J25" i="8"/>
  <c r="J24" i="8"/>
  <c r="J23" i="8"/>
  <c r="C19" i="2"/>
  <c r="C20" i="2" s="1"/>
  <c r="C9" i="2"/>
  <c r="C10" i="2" s="1"/>
  <c r="C15" i="4"/>
  <c r="C16" i="4" s="1"/>
  <c r="I24" i="8" s="1"/>
  <c r="C10" i="4"/>
  <c r="C11" i="4" s="1"/>
  <c r="C5" i="4"/>
  <c r="C6" i="4" s="1"/>
  <c r="C15" i="5"/>
  <c r="C16" i="5" s="1"/>
  <c r="I25" i="8" s="1"/>
  <c r="C10" i="5"/>
  <c r="C11" i="5" s="1"/>
  <c r="C10" i="6"/>
  <c r="C11" i="6" s="1"/>
  <c r="I30" i="8" s="1"/>
  <c r="C5" i="6"/>
  <c r="C6" i="6" s="1"/>
  <c r="C25" i="7"/>
  <c r="C26" i="7" s="1"/>
  <c r="C20" i="7"/>
  <c r="C21" i="7" s="1"/>
  <c r="C10" i="7"/>
  <c r="C11" i="7" s="1"/>
  <c r="C15" i="7"/>
  <c r="C16" i="7" s="1"/>
  <c r="C5" i="7"/>
  <c r="C6" i="7" s="1"/>
  <c r="F23" i="8"/>
  <c r="F25" i="8"/>
  <c r="F26" i="8"/>
  <c r="F30" i="8"/>
  <c r="C20" i="5"/>
  <c r="C21" i="5" s="1"/>
  <c r="C3" i="1"/>
  <c r="C4" i="1" s="1"/>
  <c r="L25" i="8" l="1"/>
  <c r="L30" i="8"/>
  <c r="L23" i="8"/>
  <c r="H29" i="8"/>
  <c r="H28" i="8"/>
  <c r="H27" i="8"/>
  <c r="F24" i="8"/>
  <c r="L24" i="8" s="1"/>
  <c r="G29" i="8"/>
  <c r="G28" i="8"/>
  <c r="G27" i="8"/>
  <c r="C8" i="1"/>
  <c r="C7" i="1"/>
  <c r="C6" i="1"/>
  <c r="C5" i="1"/>
  <c r="I29" i="8" l="1"/>
  <c r="I27" i="8"/>
  <c r="I28" i="8"/>
  <c r="I26" i="8" l="1"/>
  <c r="L26" i="8" s="1"/>
</calcChain>
</file>

<file path=xl/sharedStrings.xml><?xml version="1.0" encoding="utf-8"?>
<sst xmlns="http://schemas.openxmlformats.org/spreadsheetml/2006/main" count="578" uniqueCount="435">
  <si>
    <t>fecha_emision</t>
  </si>
  <si>
    <t>tendencia_sarandi</t>
  </si>
  <si>
    <t>tendencia_polanco</t>
  </si>
  <si>
    <t>nivel_actual_sarandi</t>
  </si>
  <si>
    <t>nivel_actual_polanco</t>
  </si>
  <si>
    <t>nivel_actual_viejo</t>
  </si>
  <si>
    <t>nivel_pasado_sarandi</t>
  </si>
  <si>
    <t>nivel_pasado_polanco</t>
  </si>
  <si>
    <t>numero_id</t>
  </si>
  <si>
    <t>PLACEHOLDER</t>
  </si>
  <si>
    <t>VALUE</t>
  </si>
  <si>
    <t>nivel_pasado_viejo</t>
  </si>
  <si>
    <t>tendencia_viejo</t>
  </si>
  <si>
    <t>nivel_actual_nuevo</t>
  </si>
  <si>
    <t>nivel_pasado_nuevo</t>
  </si>
  <si>
    <t>tendencia_nuevo</t>
  </si>
  <si>
    <t>tasa_sarandi</t>
  </si>
  <si>
    <t>tasa_polanco</t>
  </si>
  <si>
    <t>tasa_viejo</t>
  </si>
  <si>
    <t>tasa_nuevo</t>
  </si>
  <si>
    <t>pobs_24_yi</t>
  </si>
  <si>
    <t>pobs_48_yi</t>
  </si>
  <si>
    <t>pobs_72_yi</t>
  </si>
  <si>
    <t>psim_24_yi</t>
  </si>
  <si>
    <t>psim_48_yi</t>
  </si>
  <si>
    <t>psim_72_yi</t>
  </si>
  <si>
    <t>pronos_sarandi</t>
  </si>
  <si>
    <t>pronos_polanco</t>
  </si>
  <si>
    <t>pronos_viejo</t>
  </si>
  <si>
    <t>pronos_nuevo</t>
  </si>
  <si>
    <t>fecha_72</t>
  </si>
  <si>
    <t>fecha_48</t>
  </si>
  <si>
    <t>fecha_pronos_24</t>
  </si>
  <si>
    <t>fecha_pronos_48</t>
  </si>
  <si>
    <t>fecha_pronos_72</t>
  </si>
  <si>
    <t>fecha_sarandi</t>
  </si>
  <si>
    <t>fecha_polanco</t>
  </si>
  <si>
    <t>fecha_viejo</t>
  </si>
  <si>
    <t>fecha_nuevo</t>
  </si>
  <si>
    <t>diagnostico_yi</t>
  </si>
  <si>
    <t>recomendacion_yi</t>
  </si>
  <si>
    <t>DESCRIPTION</t>
  </si>
  <si>
    <t>anterior dato en Sarandí del Yí (1 hora)</t>
  </si>
  <si>
    <t>tasa de incremento (cm/hora)</t>
  </si>
  <si>
    <t>tendencia (sube, baja o permanece)</t>
  </si>
  <si>
    <t>último dato en Polanco de Yí</t>
  </si>
  <si>
    <t>anterior dato en Polanco de Yí (1 hora)</t>
  </si>
  <si>
    <t>último dato en Durazno Puente Viejo</t>
  </si>
  <si>
    <t>anterior dato en Durazno Puente Viejo (1 hora)</t>
  </si>
  <si>
    <t>último dato en Durazno Puente Nuevo</t>
  </si>
  <si>
    <t>anterior dato en Durazno Puente Nuevo (1 hora)</t>
  </si>
  <si>
    <t>Lluvia pronosticada próximas 24 horas</t>
  </si>
  <si>
    <t>Lluvia pronosticada próximas 72 horas</t>
  </si>
  <si>
    <t>Pronostico hidrologico en Sarandí del Yí</t>
  </si>
  <si>
    <t>Pronostico hidrológico en Durazno Puente Viejo</t>
  </si>
  <si>
    <t>Pronostico hidrologico en Durazno Puente Nuevo</t>
  </si>
  <si>
    <t>fecha ocurrencia nivel máximo en Polanco del Yí</t>
  </si>
  <si>
    <t>fecha ocurrencia nivel máximo en Sarandí del Yí</t>
  </si>
  <si>
    <t>fecha ocurrencia nivel máximo en Durazno Puente Viejo</t>
  </si>
  <si>
    <t>fecha ocurrencia nivel máximo en Durazno Puente Nuevo</t>
  </si>
  <si>
    <t>Pronóstico hidrológico (no mayor a 1000 palabras)</t>
  </si>
  <si>
    <t>Recomendación al SINAE</t>
  </si>
  <si>
    <t>Número de informe</t>
  </si>
  <si>
    <t>Fecha de emisión de informe (hoy)</t>
  </si>
  <si>
    <t>Fecha de ayer</t>
  </si>
  <si>
    <t>Fecha de anteayer</t>
  </si>
  <si>
    <t>Fecha pronostico 24 horas</t>
  </si>
  <si>
    <t>Fecha pronostico 48 horas</t>
  </si>
  <si>
    <t>Fecha pronostico 72 horas</t>
  </si>
  <si>
    <t>Último dato en Sarandí del Yí</t>
  </si>
  <si>
    <t>pobs_24_cuareim</t>
  </si>
  <si>
    <t>pobs_48_cuareim</t>
  </si>
  <si>
    <t>pobs_72_cuareim</t>
  </si>
  <si>
    <t>psim_24_cuareim</t>
  </si>
  <si>
    <t>psim_48_cuareim</t>
  </si>
  <si>
    <t>psim_72_cuareim</t>
  </si>
  <si>
    <t>diagnostico_cuareim</t>
  </si>
  <si>
    <t>recomendacion_cuareim</t>
  </si>
  <si>
    <t>nivel_actual_catalan</t>
  </si>
  <si>
    <t>nivel_pasado_catalan</t>
  </si>
  <si>
    <t>tasa_catalan</t>
  </si>
  <si>
    <t>tendencia_catalan</t>
  </si>
  <si>
    <t>pronos_catalan</t>
  </si>
  <si>
    <t>fecha_catalan</t>
  </si>
  <si>
    <t>nivel_actual_cuareim</t>
  </si>
  <si>
    <t>nivel_pasado_cuareim</t>
  </si>
  <si>
    <t>tasa_cuareim</t>
  </si>
  <si>
    <t>tendencia_cuareim</t>
  </si>
  <si>
    <t>pronos_cuareim</t>
  </si>
  <si>
    <t>fecha_cuareim</t>
  </si>
  <si>
    <t>nivel_actual_artigas</t>
  </si>
  <si>
    <t>nivel_pasado_artigas</t>
  </si>
  <si>
    <t>tasa_artigas</t>
  </si>
  <si>
    <t>tendencia_artigas</t>
  </si>
  <si>
    <t>pronos_artigas</t>
  </si>
  <si>
    <t>fecha_artigas</t>
  </si>
  <si>
    <t>Último dato en Catalan Grande</t>
  </si>
  <si>
    <t>anterior dato en Catalan Grande (1 hora)</t>
  </si>
  <si>
    <t>Pronostico hidrologico en Catalan Grande</t>
  </si>
  <si>
    <t>fecha ocurrencia nivel máximo en Catalan Grande</t>
  </si>
  <si>
    <t>fecha ocurrencia nivel máximo en Cuareim Río</t>
  </si>
  <si>
    <t>último dato en Artigas</t>
  </si>
  <si>
    <t>anterior dato en Artigas (1 hora)</t>
  </si>
  <si>
    <t>Pronostico hidrológico en Artigas</t>
  </si>
  <si>
    <t>fecha ocurrencia nivel máximo en Artigas</t>
  </si>
  <si>
    <t>último dato en Cuareim Río</t>
  </si>
  <si>
    <t>anterior dato en Cuareim Río (1 hora)</t>
  </si>
  <si>
    <t>Pronostico hidrológico en Cuareim Río</t>
  </si>
  <si>
    <t>pobs_24_santalucia</t>
  </si>
  <si>
    <t>pobs_48_santalucia</t>
  </si>
  <si>
    <t>pobs_72_santalucia</t>
  </si>
  <si>
    <t>psim_24_santalucia</t>
  </si>
  <si>
    <t>psim_48_santalucia</t>
  </si>
  <si>
    <t>psim_72_santalucia</t>
  </si>
  <si>
    <t>diagnostico_santalucia</t>
  </si>
  <si>
    <t>recomendacion_santalucia</t>
  </si>
  <si>
    <t>pronos_fraymarcos</t>
  </si>
  <si>
    <t>fecha_fraymarcos</t>
  </si>
  <si>
    <t>nivel_actual_pache</t>
  </si>
  <si>
    <t>nivel_pasado_pache</t>
  </si>
  <si>
    <t>tasa_pache</t>
  </si>
  <si>
    <t>tendencia_pache</t>
  </si>
  <si>
    <t>pronos_pache</t>
  </si>
  <si>
    <t>fecha_pache</t>
  </si>
  <si>
    <t>pronos_santalucia</t>
  </si>
  <si>
    <t>fecha_santalucia</t>
  </si>
  <si>
    <t>nivel_actual_florida</t>
  </si>
  <si>
    <t>nivel_pasado_florida</t>
  </si>
  <si>
    <t>tasa_florida</t>
  </si>
  <si>
    <t>tendencia_florida</t>
  </si>
  <si>
    <t>pronos_florida</t>
  </si>
  <si>
    <t>fecha_florida</t>
  </si>
  <si>
    <t>último dato en Santa Lucia Ruta 11</t>
  </si>
  <si>
    <t>anterior dato en Santa Lucia Ruta 11 (1 hora)</t>
  </si>
  <si>
    <t>Pronostico hidrológico en Santa Lucia Ruta 11</t>
  </si>
  <si>
    <t>fecha ocurrencia nivel máximo en Santa Lucia Ruta 11</t>
  </si>
  <si>
    <t>último dato en Florida Ruta 5</t>
  </si>
  <si>
    <t>anterior dato en Florida Ruta 5 (1 hora)</t>
  </si>
  <si>
    <t>Pronostico hidrologico en Florida Ruta 5</t>
  </si>
  <si>
    <t>fecha ocurrencia nivel máximo en Florida Ruta 5</t>
  </si>
  <si>
    <t>Último dato en Fray Marcos</t>
  </si>
  <si>
    <t>anterior dato en Fray Marcos (1 hora)</t>
  </si>
  <si>
    <t>Pronostico hidrologico en Fray Marcos</t>
  </si>
  <si>
    <t>fecha ocurrencia nivel máximo en Fray Marcos</t>
  </si>
  <si>
    <t>último dato en Paso Pache</t>
  </si>
  <si>
    <t>anterior dato en Paso Pache (1 hora)</t>
  </si>
  <si>
    <t>Pronostico hidrológico en Paso Pache</t>
  </si>
  <si>
    <t>fecha ocurrencia nivel máximo en Paso Pache</t>
  </si>
  <si>
    <t>último dato en Picada de Varela</t>
  </si>
  <si>
    <t>anterior dato en Picada de Varela (1 hora)</t>
  </si>
  <si>
    <t>nivel_actual_varela</t>
  </si>
  <si>
    <t>nivel_pasado_varela</t>
  </si>
  <si>
    <t>tasa_varela</t>
  </si>
  <si>
    <t>tendencia_varela</t>
  </si>
  <si>
    <t>Pronóstico hidrológico en Picada de Varela</t>
  </si>
  <si>
    <t>fecha de ocurrencia nivel máximo en Picada de Varela</t>
  </si>
  <si>
    <t>pronos_varela</t>
  </si>
  <si>
    <t>fecha_varela</t>
  </si>
  <si>
    <t>nivel_actual_fmarcos</t>
  </si>
  <si>
    <t>nivel_pasado_fmarcos</t>
  </si>
  <si>
    <t>tasa_fmarcos</t>
  </si>
  <si>
    <t>tendencia_fmarcos</t>
  </si>
  <si>
    <t>nivel_actual_lucia</t>
  </si>
  <si>
    <t>nivel_pasado_lucia</t>
  </si>
  <si>
    <t>tasa_lucia</t>
  </si>
  <si>
    <t>tendencia_lucia</t>
  </si>
  <si>
    <t>Titulo informe</t>
  </si>
  <si>
    <t>titulo</t>
  </si>
  <si>
    <t>pronos_bellaunion</t>
  </si>
  <si>
    <t>fecha_bellaunion</t>
  </si>
  <si>
    <t>q_erogado_ctm</t>
  </si>
  <si>
    <t>Caudal erogado previsto en CTM-Salto Grande</t>
  </si>
  <si>
    <t>nivel_actual_salto</t>
  </si>
  <si>
    <t>nivel_pasado_salto</t>
  </si>
  <si>
    <t>tasa_salto</t>
  </si>
  <si>
    <t>tendencia_salto</t>
  </si>
  <si>
    <t>último dato en Bella Unión</t>
  </si>
  <si>
    <t>anterior dato en Bella Unión(1 hora)</t>
  </si>
  <si>
    <t>Último dato en Paso de los Libres</t>
  </si>
  <si>
    <t>anterior dato en Paso de los Libres (1 hora)</t>
  </si>
  <si>
    <t>último dato en Paysandú</t>
  </si>
  <si>
    <t>anterior dato en Paysandú(1 hora)</t>
  </si>
  <si>
    <t>último dato en Fray Bentos</t>
  </si>
  <si>
    <t>anterior dato en Fray Bentos(1 hora)</t>
  </si>
  <si>
    <t>último dato en Salto</t>
  </si>
  <si>
    <t>anterior dato en Salto (1 hora)</t>
  </si>
  <si>
    <t>Pronostico hidrologico en Bella Unión</t>
  </si>
  <si>
    <t>fecha ocurrencia nivel máximo en Bella Unión</t>
  </si>
  <si>
    <t>Pronostico hidrológico en Salto</t>
  </si>
  <si>
    <t>fecha ocurrencia nivel máximo en Salto</t>
  </si>
  <si>
    <t>Pronostico hidrológico en Paysandú</t>
  </si>
  <si>
    <t>fecha ocurrencia nivel máximo en Paysandú</t>
  </si>
  <si>
    <t>diagnostico_uruguay</t>
  </si>
  <si>
    <t>pronos_salto</t>
  </si>
  <si>
    <t>fecha_salto</t>
  </si>
  <si>
    <t>pronos_paysandu</t>
  </si>
  <si>
    <t>fecha_paysandu</t>
  </si>
  <si>
    <t>Pronostico hidrológico en Fray Bentos</t>
  </si>
  <si>
    <t>fecha ocurrencia nivel máximo en Fray Bentos</t>
  </si>
  <si>
    <t>pronos_fraybentos</t>
  </si>
  <si>
    <t>fecha_fraybentos</t>
  </si>
  <si>
    <t>nivel_actual_libres</t>
  </si>
  <si>
    <t>nivel_pasado_libres</t>
  </si>
  <si>
    <t>tasa_libres</t>
  </si>
  <si>
    <t>tendencia_libres</t>
  </si>
  <si>
    <t>nivel_actual_bella</t>
  </si>
  <si>
    <t>nivel_pasado_bella</t>
  </si>
  <si>
    <t>tasa_bella</t>
  </si>
  <si>
    <t>tendencia_bella</t>
  </si>
  <si>
    <t>nivel_actual_ps</t>
  </si>
  <si>
    <t>nivel_pasado_ps</t>
  </si>
  <si>
    <t>tasa_ps</t>
  </si>
  <si>
    <t>tendencia_ps</t>
  </si>
  <si>
    <t>nivel_actual_bentos</t>
  </si>
  <si>
    <t>nivel_pasado_bentos</t>
  </si>
  <si>
    <t>tasa_bentos</t>
  </si>
  <si>
    <t>tendencia_bentos</t>
  </si>
  <si>
    <t>recomendacion_uruguay</t>
  </si>
  <si>
    <t>Último dato en San Gregorio de Polanco</t>
  </si>
  <si>
    <t>anterior dato en San Gregorio de Polanco (1 hora)</t>
  </si>
  <si>
    <t>nivel_actual_gregorio</t>
  </si>
  <si>
    <t>nivel_pasado_gregorio</t>
  </si>
  <si>
    <t>tasa_gregorio</t>
  </si>
  <si>
    <t>tendencia_gregorio</t>
  </si>
  <si>
    <t>último dato en Puente Mercedes</t>
  </si>
  <si>
    <t>anterior dato en Mercedes (1 hora)</t>
  </si>
  <si>
    <t>nivel_actual_mercedes</t>
  </si>
  <si>
    <t>nivel_pasado_mercedes</t>
  </si>
  <si>
    <t>tasa_mercedes</t>
  </si>
  <si>
    <t>tendencia_mercedes</t>
  </si>
  <si>
    <t>Caudal erogado previsto en Rincón del Bonete</t>
  </si>
  <si>
    <t>Caudal erogado previsto en Constitución</t>
  </si>
  <si>
    <t>q_erogado_palmar</t>
  </si>
  <si>
    <t>q_erogado_bonete</t>
  </si>
  <si>
    <t>pronos_mercedes</t>
  </si>
  <si>
    <t>fecha_mercedes</t>
  </si>
  <si>
    <t>Pronostico hidrologico en Puente Mercedes</t>
  </si>
  <si>
    <t>fecha ocurrencia nivel máximo en Puente Mercedes</t>
  </si>
  <si>
    <t>Pronostico hidrológico en San Gregorio de Polanco</t>
  </si>
  <si>
    <t>fecha ocurrencia nivel máximo en San Gregorio de Polanco</t>
  </si>
  <si>
    <t>pronos_gregorio</t>
  </si>
  <si>
    <t>fecha_gregorio</t>
  </si>
  <si>
    <t>diagnostico_negro</t>
  </si>
  <si>
    <t>recomendacion_negro</t>
  </si>
  <si>
    <t>-</t>
  </si>
  <si>
    <t>Recomendaciones al SINAE</t>
  </si>
  <si>
    <t xml:space="preserve">En las últimas horas se registraron precipitaciones de fuerte intensidad en la cuenca (promedio 62 mm) del río Cuareim. </t>
  </si>
  <si>
    <t xml:space="preserve">El nivel del río Cuareim en la ciudad de Artigas se mantiene actualmente en un nivel constante. </t>
  </si>
  <si>
    <t xml:space="preserve">Considerando las lluvias y los niveles registrados en las estaciones de monitoreo, existe la posibilidad de nuevos incrementos de nivel que mantendrían las zonas de vivienda inundadas en los próximos días. </t>
  </si>
  <si>
    <t xml:space="preserve">Por el momento, la probabilidad de un incremento superior al registrado los días anteriores (10.60 metros) es baja pero no se puede descartar en su totalidad. </t>
  </si>
  <si>
    <t xml:space="preserve"> mm y con un máximo de </t>
  </si>
  <si>
    <t xml:space="preserve"> mm/día.</t>
  </si>
  <si>
    <t>Existe una alta probabilidad de que el nivel supere al máximo registrado los días anteriores (</t>
  </si>
  <si>
    <t xml:space="preserve"> metros). </t>
  </si>
  <si>
    <t>Existe una baja probabilidad de que el nivel supere al máximo registrado los días anteriores (</t>
  </si>
  <si>
    <t xml:space="preserve"> metros), pero no se puede descartar en su totalidad.</t>
  </si>
  <si>
    <t>P diara max.</t>
  </si>
  <si>
    <t>P ac. 72h</t>
  </si>
  <si>
    <t>&gt;</t>
  </si>
  <si>
    <t>Condicion</t>
  </si>
  <si>
    <t>Tendencia</t>
  </si>
  <si>
    <t>Ultimo N</t>
  </si>
  <si>
    <t>Pronostico N</t>
  </si>
  <si>
    <t>=</t>
  </si>
  <si>
    <t>&lt;</t>
  </si>
  <si>
    <t>Ciudad</t>
  </si>
  <si>
    <t>Río</t>
  </si>
  <si>
    <t>Mercedes</t>
  </si>
  <si>
    <t xml:space="preserve">En las últimas horas se registraron importantes acumulados de precipitación en la cuenca del </t>
  </si>
  <si>
    <t xml:space="preserve">En las últimas horas se registraron acumulados de precipitación moderados en la cuenca del </t>
  </si>
  <si>
    <t xml:space="preserve">En las últimas horas se registraron bajos acumulados de precipitación en la cuenca del </t>
  </si>
  <si>
    <t>Santa Lucía</t>
  </si>
  <si>
    <t>Artigas</t>
  </si>
  <si>
    <t>Durazno</t>
  </si>
  <si>
    <t>Pronóstico hidrologico</t>
  </si>
  <si>
    <t>Cuenca</t>
  </si>
  <si>
    <t>Pronostico hidrológico en Polanco del Yí</t>
  </si>
  <si>
    <t>río Yí</t>
  </si>
  <si>
    <t>Yí</t>
  </si>
  <si>
    <t>Cuareim</t>
  </si>
  <si>
    <t>río Cuareim</t>
  </si>
  <si>
    <t>río Santa Lucía</t>
  </si>
  <si>
    <t>Uruguay</t>
  </si>
  <si>
    <t>río Uruguay</t>
  </si>
  <si>
    <t>Bella Unión</t>
  </si>
  <si>
    <t>Salto</t>
  </si>
  <si>
    <t>Paysandú</t>
  </si>
  <si>
    <t>Fray Bentos</t>
  </si>
  <si>
    <t>Río Negro</t>
  </si>
  <si>
    <t>Frase1</t>
  </si>
  <si>
    <t>Frase2</t>
  </si>
  <si>
    <t>Frase3</t>
  </si>
  <si>
    <t>Frase4</t>
  </si>
  <si>
    <t xml:space="preserve">, donde en las últimas 72 horas se acumularon </t>
  </si>
  <si>
    <t xml:space="preserve">Actualmente, el nivel del </t>
  </si>
  <si>
    <t>Sube</t>
  </si>
  <si>
    <t>Permanece</t>
  </si>
  <si>
    <t>Baja</t>
  </si>
  <si>
    <t xml:space="preserve"> está en ascenso</t>
  </si>
  <si>
    <t xml:space="preserve"> se mantiene constante</t>
  </si>
  <si>
    <t xml:space="preserve"> está en descenso</t>
  </si>
  <si>
    <t>nivel_pico_anterior_mercedes</t>
  </si>
  <si>
    <t>nivel pico anterior en Mercedes</t>
  </si>
  <si>
    <t>nivel pico anterior en Paso de los Libres</t>
  </si>
  <si>
    <t>nivel_pico_anterior_libres</t>
  </si>
  <si>
    <t>nivel pico anterior en Bella Unión</t>
  </si>
  <si>
    <t>nivel_pico_anterior_bella</t>
  </si>
  <si>
    <t>nivel pico anterior en Salto</t>
  </si>
  <si>
    <t>nivel_pico_anterior_salto</t>
  </si>
  <si>
    <t>nivel pico anterior en Paysandú</t>
  </si>
  <si>
    <t>nivel_pico_anterior_ps</t>
  </si>
  <si>
    <t>nivel pico anterior en Fray Bentos</t>
  </si>
  <si>
    <t>nivel_pico_anterior_bentos</t>
  </si>
  <si>
    <t>nivel pico anterior en San Gregorio de Polanco</t>
  </si>
  <si>
    <t>nivel_pico_anterior_gregorio</t>
  </si>
  <si>
    <t>nivel pico anterior en Fray Marcos</t>
  </si>
  <si>
    <t>nivel_pico_anterior_fmarcos</t>
  </si>
  <si>
    <t>nivel pico anterior en Paso Pache</t>
  </si>
  <si>
    <t>nivel_pico_anterior_pache</t>
  </si>
  <si>
    <t>nivel_pico_anterior_varela</t>
  </si>
  <si>
    <t>nivel pico anterior en Picada de Varela</t>
  </si>
  <si>
    <t>nivel pico anterior en  Santa Lucia Ruta 11</t>
  </si>
  <si>
    <t>nivel_pico_anterior_lucia</t>
  </si>
  <si>
    <t>nivel pico anterior en Florida Ruta 5</t>
  </si>
  <si>
    <t>nivel_pico_anterior_florida</t>
  </si>
  <si>
    <t>nivel pico anterior en Catalan Grande</t>
  </si>
  <si>
    <t>nivel_pico_anterior_catalan</t>
  </si>
  <si>
    <t>nivel pico anterior en Cuareim Río</t>
  </si>
  <si>
    <t>nivel_pico_anterior_cuareim</t>
  </si>
  <si>
    <t>nivel_pico_anterior_artigas</t>
  </si>
  <si>
    <t>nivel pico anterior en Artigas</t>
  </si>
  <si>
    <t>nivel pico anterior en Polanco de Yí</t>
  </si>
  <si>
    <t>nivel_pico_anterior_polanco</t>
  </si>
  <si>
    <t>nivel_pico_anterior_viejo</t>
  </si>
  <si>
    <t>nivel pico anterior en Puente Viejo</t>
  </si>
  <si>
    <t>Fecha</t>
  </si>
  <si>
    <t>Responsable</t>
  </si>
  <si>
    <t>Cambios</t>
  </si>
  <si>
    <t>F. Hastings</t>
  </si>
  <si>
    <t>Se agregó un campo "nivel pico anterior en CIUDAD" para los casos de tormentas con varios picos, en el capo se debe ingresar el nivel del pico maximo anterior de la tormenta.</t>
  </si>
  <si>
    <t>El campo "Recomendación al SINAE" se estandarizó a partir de una lista que se encuentra en la hoja "Tablas". Se puede seleccionar una opción y luego editarla. La lista se puede editar para incorporar o eliminar opciones.</t>
  </si>
  <si>
    <t>El campo "Pronóstico hidrológico" se estandarizó considerando los datos ingresados de precipitaciones y niveles.</t>
  </si>
  <si>
    <t>Se agregó una hoja "Tablas" donde se encuentran las opciones de listas y hay tablas auxiliares para estandarizar la redaccion de los campos.</t>
  </si>
  <si>
    <t xml:space="preserve"> en las ciudades de</t>
  </si>
  <si>
    <t>Comentarios</t>
  </si>
  <si>
    <t>Este campo falta agregarlo al Scrript de pyton.</t>
  </si>
  <si>
    <t>Para la cuenca del río Uruguay donde se informan cuatro ciudades, si la tendencia no es la misma hay que arreglar manualmente la frase agregando comas o "y" que separan los nombres de las ciudades según corresponda.</t>
  </si>
  <si>
    <t xml:space="preserve">Considerando las lluvias pronosticadas y los niveles registrados en las estaciones de monitoreo, </t>
  </si>
  <si>
    <t xml:space="preserve">existe la posibilidad de nuevos incrementos de nivel en los próximos días. </t>
  </si>
  <si>
    <t xml:space="preserve">se prevé que el nivel descienda en los próximos días. </t>
  </si>
  <si>
    <t xml:space="preserve">no se prevén nuevos incrementos de nivel en los próximos días. </t>
  </si>
  <si>
    <t>pronos_CIUDAD debe ser un campo numerico para que funcione la automatización del campo "Pronóstico hidrológico"</t>
  </si>
  <si>
    <t xml:space="preserve"> en la ciudad de </t>
  </si>
  <si>
    <t>Se cambiaron las fórmulas de los campos "tasa de incremento (cm/hora)" y "tendencia (sube, baja o permanece)".</t>
  </si>
  <si>
    <t>Si la tendencia es a la baja no se calcula la tasa.</t>
  </si>
  <si>
    <t>Frase completa</t>
  </si>
  <si>
    <t xml:space="preserve">Estar atentos a los pronósticos meteorológicos que realiza el INUMET y a los próximos eventos de lluvia que se registren en la cuenca.   </t>
  </si>
  <si>
    <t>último dato en Treinta y Tres</t>
  </si>
  <si>
    <t>anterior dato en Treinta y Tres (1 hora)</t>
  </si>
  <si>
    <t>nivel pico anterior en Treinta y Tres</t>
  </si>
  <si>
    <t>Pronostico hidrologico en Treinta y Tres</t>
  </si>
  <si>
    <t>fecha ocurrencia nivel máximo en Treinta y Tres</t>
  </si>
  <si>
    <t>nivel_actual_treintatres</t>
  </si>
  <si>
    <t>nivel_pasado_treintatres</t>
  </si>
  <si>
    <t>nivel_pico_anterior_treintatres</t>
  </si>
  <si>
    <t>tasa_treintatres</t>
  </si>
  <si>
    <t>tendencia_treintatres</t>
  </si>
  <si>
    <t>pobs_24_olimar</t>
  </si>
  <si>
    <t>pobs_48_olimar</t>
  </si>
  <si>
    <t>pobs_72_olimar</t>
  </si>
  <si>
    <t>psim_24_olimar</t>
  </si>
  <si>
    <t>psim_48_olimar</t>
  </si>
  <si>
    <t>psim_72_olimar</t>
  </si>
  <si>
    <t>fecha_treintatres</t>
  </si>
  <si>
    <t>pronos_treintatres</t>
  </si>
  <si>
    <t>diagnostico_olimar</t>
  </si>
  <si>
    <t>recomendacion_olimar</t>
  </si>
  <si>
    <t>Pronostico hidrologico en San Ramón</t>
  </si>
  <si>
    <t>fecha ocurrencia nivel máximo en San Ramón</t>
  </si>
  <si>
    <t>pronos_ramon</t>
  </si>
  <si>
    <t>fecha_ramon</t>
  </si>
  <si>
    <t>Pronóstico hidrológico en Canelones</t>
  </si>
  <si>
    <t>fecha de ocurrencia nivel máximo en Canelones</t>
  </si>
  <si>
    <t>pronos_canelones</t>
  </si>
  <si>
    <t>fecha_canelones</t>
  </si>
  <si>
    <t>pobs_24_jose</t>
  </si>
  <si>
    <t>pobs_48_jose</t>
  </si>
  <si>
    <t>pobs_72_jose</t>
  </si>
  <si>
    <t>psim_24_jose</t>
  </si>
  <si>
    <t>psim_48_jose</t>
  </si>
  <si>
    <t>psim_72_jose</t>
  </si>
  <si>
    <t>diagnostico_jose</t>
  </si>
  <si>
    <t>recomendacion_jose</t>
  </si>
  <si>
    <t xml:space="preserve"> -</t>
  </si>
  <si>
    <t>Mantener la vigilancia y el monitoreo en niveles de ríos y arroyos. Infórmese por fuentes oficiales</t>
  </si>
  <si>
    <t>Estar atentos a la posiblidad de generarse inundaciones en los primeros equipamientos colectivos expuesto de la localidad y pérdida de conectividad terrestre por crecidas</t>
  </si>
  <si>
    <t xml:space="preserve">Estar preparados ante la posibilidad de generarse inundaciones en zona de vivienda de uso permanente ubicada en la trama urbana. </t>
  </si>
  <si>
    <t>Tomar acción en realizar evacuaciones debido a la posibilidad de generarse inundaciones que afecten viviendas, infraestructura sensible y equipamientos urbanos</t>
  </si>
  <si>
    <t>Entre 5.70 a 6.70 metros</t>
  </si>
  <si>
    <t>Entre 21 y 22 de julio</t>
  </si>
  <si>
    <t>22 julio</t>
  </si>
  <si>
    <t>Menor a 2.0 metros</t>
  </si>
  <si>
    <t>Acumulado 3 días</t>
  </si>
  <si>
    <t>Acumulado diario</t>
  </si>
  <si>
    <t>Acumulado semanal</t>
  </si>
  <si>
    <t>Lluvia pronosticada próximas Semana</t>
  </si>
  <si>
    <t>Entre 21 y 22 agosto</t>
  </si>
  <si>
    <t>Entre 8.50 a 9.60 metros</t>
  </si>
  <si>
    <t xml:space="preserve">En los últimos dias se ha registrado un ascenso del nivel del río Cuareim en Artigas que estuvo levemente por debajo de la cota de aviso (8.00 metros) definido para la ciudad de Artigas. Debido a las precipitaciones previstas para los próximos dias, se espera que el nivel del río se mantenga alto y con posibilidad de generar un segundo pico o crecida que podria superar la cota de aviso pero estaria por debajo de la cota de seguridad (10.20 m), en función de la precipitación pronosticada. </t>
  </si>
  <si>
    <t>Entre 6.5 a 8.0 metros</t>
  </si>
  <si>
    <t>Entre 4.41 a 5.87 metros</t>
  </si>
  <si>
    <t>Entre 20 y 22 agosto</t>
  </si>
  <si>
    <t xml:space="preserve">En las últimas horas el río Santa Lucía alcanzó un nivel máximo de 6,00 metros en la estación Fray Marcos. A partir de este comportamiento, se prevé que en los próximos días el nivel en Santa Lucía (Ruta 11) se sitúe entre los 6,50 y 8,00 metros. De alcanzarse estos valores, se superaría la cota de aviso (6,80 m), manteniéndose por debajo de la cota de seguridad (9,00 m). Debido a las precipitaciones pronosticadas, no se descarta que el río permanezca crecido ni la ocurrencia de un segundo repunte de mayor magnitud. Se actualizará la información una vez registrados los acumulados de lluvia en la cuenca. </t>
  </si>
  <si>
    <t>Se observa un incremento de nivel del río San José el cual tiene posibilidad de aproximarse a la cota de aviso (3,32 metros) en las próximas horas. Debido a las precipitaciones pronosticadas, no se descarta que el río permanezca crecido en los próximos días. La probabilidad de llegar a cota de seguridad (7.40 m) es baja pero se actualizará información si se tiene un cambio en las condiciones hidrológicas</t>
  </si>
  <si>
    <t>Entre 10.72 y 11.68 metros</t>
  </si>
  <si>
    <t>26 de agosto</t>
  </si>
  <si>
    <t>Menor a 5.97 metros</t>
  </si>
  <si>
    <t>21 de agosto</t>
  </si>
  <si>
    <t>Estar preparados a la posibilidad de aproximarse a la cota de seguridad en la ciudad de Mercedes</t>
  </si>
  <si>
    <t>Ayer el nivel del río Olimar Grande superó la cota de seguridad (7,0 metros) en la ciudad de Treinta y Tres. Actualmente se mantiene en niveles elevados, con previsión de estabilizarse y alcanzar su pico máximo en las próximas horas. Debido a las precipitaciones pronosticadas y a los niveles de saturación de los suelos, se espera que el caudal del río permanezca alto hasta el 23 de agosto de 2026, prolongando la afectación en las áreas anegadas.</t>
  </si>
  <si>
    <t>Estar atentos y preparados a la posibilidad de un segundo evento de precipitación que podrian mantener las zonas inundadas en los próximos dias</t>
  </si>
  <si>
    <t xml:space="preserve">Durante las últimas horas se ha observado el descenso del nivel del río Yí en la ciudad de Durazno. Sin embargo, el nivel actual reportado por la UTE muestra que aun el nivel del río está por encima de la cota de seguridad. </t>
  </si>
  <si>
    <t xml:space="preserve">En las últimas horas se ha observado semi-estacionario el nivel del río Negro en Mercedes </t>
  </si>
  <si>
    <t>18500 y 18000</t>
  </si>
  <si>
    <t>1606 y 1065</t>
  </si>
  <si>
    <t>1781 y 1280</t>
  </si>
  <si>
    <t>El río Uruguay registra niveles estables en Bella Unión y Salto.</t>
  </si>
  <si>
    <t>Alrededor de 6,90 m</t>
  </si>
  <si>
    <t>Menor a 12,10 m</t>
  </si>
  <si>
    <t>12 de octubre</t>
  </si>
  <si>
    <t>Alrededor de 6,40 m</t>
  </si>
  <si>
    <t>Se recomienda mantener las medidas de respuesta y el seguimiento de la evolución de los niveles del río Uruguay, principalmente en Bella
Unión y Paysandú, donde se han superado las cotas de seguridad. Asimismo, se recomienda mantener la vigilancia ante posibles
nuevos incrementos de los niveles durante los próximos días.</t>
  </si>
  <si>
    <t>Menor a 3,50 metros</t>
  </si>
  <si>
    <t>13-14 de octubre</t>
  </si>
  <si>
    <t xml:space="preserve">Durante las últimas horas se ha observado una tendencia estable del río Uruguay en el tramo Paso de los Libres (Argentina) y Bella Unión. Sin embargo, se espera para los próximos días un repunte del río Uruguay debido a las lluvias registradas en la parte alta de la cuenca. Para las próximas horas se espera que el Río Uruguay en Bella Unión se encuentre estable y por debajo de los 6,90 metros. En Salto, de acuerdo a la CTM de Salto Grande, se espera que el nivel del río sea menor a 12,10 metros. En Paysandú, se espera que el nivel del río se mantenga por debajo de los 6,40 metros.  En Fray Bentos se espera que el nivel del río se mantenga inferior de 3,50 metros para los próximos 2 a 3 días.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</si>
</sst>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2C0A]dddd\,\ dd&quot; de &quot;mmmm&quot; de &quot;yyyy;@"/>
    <numFmt numFmtId="165" formatCode="0.0"/>
  </numFmts>
  <fonts count="9" x14ac:knownFonts="1">
    <font>
      <sz val="11"/>
      <color theme="1"/>
      <name val="Calibri"/>
      <family val="2"/>
      <scheme val="minor"/>
    </font>
    <font>
      <b/>
      <sz val="14"/>
      <color theme="0"/>
      <name val="Segoe UI"/>
      <family val="2"/>
    </font>
    <font>
      <sz val="14"/>
      <color theme="1"/>
      <name val="Segoe UI"/>
      <family val="2"/>
    </font>
    <font>
      <sz val="11"/>
      <color theme="1"/>
      <name val="Segoe UI"/>
      <family val="2"/>
    </font>
    <font>
      <b/>
      <sz val="11"/>
      <color theme="1"/>
      <name val="Segoe UI"/>
      <family val="2"/>
    </font>
    <font>
      <i/>
      <sz val="11"/>
      <color theme="0"/>
      <name val="Segoe UI"/>
      <family val="2"/>
    </font>
    <font>
      <b/>
      <sz val="11"/>
      <color rgb="FF000000"/>
      <name val="Segoe UI"/>
      <family val="2"/>
    </font>
    <font>
      <sz val="8"/>
      <name val="Calibri"/>
      <family val="2"/>
      <scheme val="minor"/>
    </font>
    <font>
      <b/>
      <sz val="11"/>
      <color theme="1"/>
      <name val="Calibri"/>
      <family val="2"/>
      <scheme val="minor"/>
    </font>
  </fonts>
  <fills count="6">
    <fill>
      <patternFill patternType="none"/>
    </fill>
    <fill>
      <patternFill patternType="gray125"/>
    </fill>
    <fill>
      <patternFill patternType="solid">
        <fgColor theme="4"/>
        <bgColor indexed="64"/>
      </patternFill>
    </fill>
    <fill>
      <patternFill patternType="solid">
        <fgColor theme="0" tint="-0.499984740745262"/>
        <bgColor indexed="64"/>
      </patternFill>
    </fill>
    <fill>
      <patternFill patternType="solid">
        <fgColor rgb="FFFFFF00"/>
        <bgColor indexed="64"/>
      </patternFill>
    </fill>
    <fill>
      <patternFill patternType="solid">
        <fgColor theme="2" tint="-9.9978637043366805E-2"/>
        <bgColor indexed="64"/>
      </patternFill>
    </fill>
  </fills>
  <borders count="1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top/>
      <bottom style="thin">
        <color indexed="64"/>
      </bottom>
      <diagonal/>
    </border>
  </borders>
  <cellStyleXfs count="1">
    <xf numFmtId="0" fontId="0" fillId="0" borderId="0"/>
  </cellStyleXfs>
  <cellXfs count="79">
    <xf numFmtId="0" fontId="0" fillId="0" borderId="0" xfId="0"/>
    <xf numFmtId="0" fontId="1" fillId="2" borderId="1"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12" xfId="0" applyFont="1" applyFill="1" applyBorder="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165" fontId="3" fillId="0" borderId="8" xfId="0" applyNumberFormat="1" applyFont="1" applyBorder="1" applyAlignment="1">
      <alignment horizontal="center" vertical="center"/>
    </xf>
    <xf numFmtId="0" fontId="3" fillId="0" borderId="6" xfId="0" applyFont="1" applyBorder="1" applyAlignment="1">
      <alignment horizontal="center" vertical="center"/>
    </xf>
    <xf numFmtId="0" fontId="3" fillId="0" borderId="9"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3" fillId="0" borderId="3" xfId="0" applyFont="1" applyBorder="1" applyAlignment="1">
      <alignment horizontal="left" vertical="center" wrapText="1"/>
    </xf>
    <xf numFmtId="0" fontId="3" fillId="0" borderId="11" xfId="0" applyFont="1" applyBorder="1" applyAlignment="1">
      <alignment horizontal="center" vertical="center"/>
    </xf>
    <xf numFmtId="0" fontId="3" fillId="0" borderId="12" xfId="0" applyFont="1" applyBorder="1" applyAlignment="1">
      <alignment horizontal="left" vertical="center" wrapText="1"/>
    </xf>
    <xf numFmtId="0" fontId="4" fillId="0" borderId="0" xfId="0" applyFont="1" applyAlignment="1">
      <alignment horizontal="center" vertical="center"/>
    </xf>
    <xf numFmtId="0" fontId="1" fillId="2" borderId="10" xfId="0" applyFont="1" applyFill="1" applyBorder="1" applyAlignment="1">
      <alignment horizontal="center"/>
    </xf>
    <xf numFmtId="0" fontId="1" fillId="2" borderId="11" xfId="0" applyFont="1" applyFill="1" applyBorder="1" applyAlignment="1">
      <alignment horizontal="center"/>
    </xf>
    <xf numFmtId="0" fontId="3" fillId="0" borderId="0" xfId="0" applyFont="1" applyAlignment="1">
      <alignment horizontal="center"/>
    </xf>
    <xf numFmtId="0" fontId="3" fillId="0" borderId="6"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5" fillId="3" borderId="4" xfId="0" applyFont="1" applyFill="1" applyBorder="1" applyAlignment="1">
      <alignment horizontal="center"/>
    </xf>
    <xf numFmtId="0" fontId="5" fillId="3" borderId="2" xfId="0" applyFont="1" applyFill="1" applyBorder="1" applyAlignment="1">
      <alignment horizontal="center"/>
    </xf>
    <xf numFmtId="0" fontId="5" fillId="3" borderId="7" xfId="0" applyFont="1" applyFill="1" applyBorder="1" applyAlignment="1">
      <alignment horizontal="center"/>
    </xf>
    <xf numFmtId="0" fontId="5" fillId="3" borderId="13" xfId="0" applyFont="1" applyFill="1" applyBorder="1" applyAlignment="1">
      <alignment horizontal="left" vertical="center"/>
    </xf>
    <xf numFmtId="0" fontId="3" fillId="0" borderId="13" xfId="0" applyFont="1" applyBorder="1" applyAlignment="1">
      <alignment horizontal="left" vertical="center"/>
    </xf>
    <xf numFmtId="0" fontId="3" fillId="0" borderId="15" xfId="0" applyFont="1" applyBorder="1" applyAlignment="1">
      <alignment horizontal="left" vertical="center"/>
    </xf>
    <xf numFmtId="0" fontId="3" fillId="0" borderId="14" xfId="0" applyFont="1" applyBorder="1" applyAlignment="1">
      <alignment horizontal="left" vertical="center"/>
    </xf>
    <xf numFmtId="0" fontId="3" fillId="0" borderId="1" xfId="0" applyFont="1" applyBorder="1" applyAlignment="1">
      <alignment horizontal="left" vertical="center"/>
    </xf>
    <xf numFmtId="0" fontId="5" fillId="3" borderId="0" xfId="0" applyFont="1" applyFill="1" applyAlignment="1">
      <alignment horizontal="center" vertical="center"/>
    </xf>
    <xf numFmtId="1" fontId="5" fillId="3" borderId="8" xfId="0" applyNumberFormat="1" applyFont="1" applyFill="1" applyBorder="1" applyAlignment="1">
      <alignment horizontal="center" vertical="center"/>
    </xf>
    <xf numFmtId="0" fontId="5" fillId="3" borderId="9" xfId="0" applyFont="1" applyFill="1" applyBorder="1" applyAlignment="1">
      <alignment horizontal="center"/>
    </xf>
    <xf numFmtId="0" fontId="5" fillId="3" borderId="6" xfId="0" applyFont="1" applyFill="1" applyBorder="1" applyAlignment="1">
      <alignment horizontal="center"/>
    </xf>
    <xf numFmtId="0" fontId="5" fillId="3" borderId="0" xfId="0" applyFont="1" applyFill="1" applyAlignment="1">
      <alignment horizontal="center"/>
    </xf>
    <xf numFmtId="0" fontId="3" fillId="0" borderId="2" xfId="0" applyFont="1" applyBorder="1" applyAlignment="1">
      <alignment horizontal="center"/>
    </xf>
    <xf numFmtId="0" fontId="5" fillId="3" borderId="14" xfId="0" applyFont="1" applyFill="1" applyBorder="1" applyAlignment="1">
      <alignment horizontal="left" vertical="center"/>
    </xf>
    <xf numFmtId="0" fontId="5" fillId="3" borderId="9" xfId="0" applyFont="1" applyFill="1" applyBorder="1" applyAlignment="1">
      <alignment horizontal="center" vertical="center"/>
    </xf>
    <xf numFmtId="0" fontId="5" fillId="3" borderId="5" xfId="0" applyFont="1" applyFill="1" applyBorder="1" applyAlignment="1">
      <alignment horizontal="center" vertical="center"/>
    </xf>
    <xf numFmtId="0" fontId="1" fillId="2" borderId="1" xfId="0" applyFont="1" applyFill="1" applyBorder="1" applyAlignment="1">
      <alignment horizontal="center"/>
    </xf>
    <xf numFmtId="0" fontId="3" fillId="0" borderId="15" xfId="0" applyFont="1" applyBorder="1" applyAlignment="1">
      <alignment horizontal="center"/>
    </xf>
    <xf numFmtId="164" fontId="5" fillId="3" borderId="14" xfId="0" applyNumberFormat="1" applyFont="1" applyFill="1" applyBorder="1" applyAlignment="1">
      <alignment horizontal="center"/>
    </xf>
    <xf numFmtId="164" fontId="5" fillId="3" borderId="15" xfId="0" applyNumberFormat="1" applyFont="1" applyFill="1" applyBorder="1" applyAlignment="1">
      <alignment horizontal="center"/>
    </xf>
    <xf numFmtId="164" fontId="5" fillId="3" borderId="13" xfId="0" applyNumberFormat="1" applyFont="1" applyFill="1" applyBorder="1" applyAlignment="1">
      <alignment horizontal="center"/>
    </xf>
    <xf numFmtId="0" fontId="3" fillId="0" borderId="1" xfId="0" applyFont="1" applyBorder="1" applyAlignment="1">
      <alignment horizontal="center"/>
    </xf>
    <xf numFmtId="0" fontId="6" fillId="0" borderId="16" xfId="0" applyFont="1" applyBorder="1" applyAlignment="1">
      <alignment vertical="center"/>
    </xf>
    <xf numFmtId="0" fontId="3" fillId="0" borderId="0" xfId="0" applyFont="1"/>
    <xf numFmtId="0" fontId="3" fillId="4" borderId="0" xfId="0" applyFont="1" applyFill="1"/>
    <xf numFmtId="0" fontId="4" fillId="0" borderId="0" xfId="0" applyFont="1"/>
    <xf numFmtId="0" fontId="3" fillId="4" borderId="8" xfId="0" applyFont="1" applyFill="1" applyBorder="1" applyAlignment="1">
      <alignment horizontal="left" vertical="center"/>
    </xf>
    <xf numFmtId="0" fontId="3" fillId="0" borderId="16" xfId="0" applyFont="1" applyBorder="1"/>
    <xf numFmtId="0" fontId="4" fillId="0" borderId="16" xfId="0" applyFont="1" applyBorder="1" applyAlignment="1">
      <alignment horizontal="left"/>
    </xf>
    <xf numFmtId="0" fontId="3" fillId="0" borderId="0" xfId="0" applyFont="1" applyAlignment="1">
      <alignment vertical="center"/>
    </xf>
    <xf numFmtId="0" fontId="3" fillId="0" borderId="0" xfId="0" applyFont="1" applyAlignment="1">
      <alignment horizontal="left" vertical="center" wrapText="1"/>
    </xf>
    <xf numFmtId="0" fontId="3" fillId="0" borderId="0" xfId="0" applyFont="1" applyAlignment="1">
      <alignment wrapText="1"/>
    </xf>
    <xf numFmtId="0" fontId="3" fillId="4" borderId="0" xfId="0" applyFont="1" applyFill="1" applyAlignment="1">
      <alignment horizontal="left" vertical="center"/>
    </xf>
    <xf numFmtId="1" fontId="3" fillId="0" borderId="0" xfId="0" applyNumberFormat="1" applyFont="1" applyAlignment="1">
      <alignment horizontal="center" vertical="center"/>
    </xf>
    <xf numFmtId="14" fontId="0" fillId="0" borderId="0" xfId="0" applyNumberFormat="1"/>
    <xf numFmtId="0" fontId="8" fillId="0" borderId="0" xfId="0" applyFont="1"/>
    <xf numFmtId="0" fontId="3" fillId="5" borderId="0" xfId="0" applyFont="1" applyFill="1" applyAlignment="1">
      <alignment horizontal="left" vertical="center" wrapText="1"/>
    </xf>
    <xf numFmtId="0" fontId="3" fillId="5" borderId="0" xfId="0" quotePrefix="1" applyFont="1" applyFill="1" applyAlignment="1">
      <alignment horizontal="left" vertical="center" wrapText="1"/>
    </xf>
    <xf numFmtId="0" fontId="8" fillId="0" borderId="0" xfId="0" applyFont="1" applyAlignment="1">
      <alignment wrapText="1"/>
    </xf>
    <xf numFmtId="0" fontId="0" fillId="0" borderId="0" xfId="0" applyAlignment="1">
      <alignment wrapText="1"/>
    </xf>
    <xf numFmtId="0" fontId="0" fillId="4" borderId="0" xfId="0" applyFill="1" applyAlignment="1">
      <alignment wrapText="1"/>
    </xf>
    <xf numFmtId="0" fontId="3" fillId="0" borderId="0" xfId="0" applyFont="1" applyAlignment="1">
      <alignment horizontal="left" vertical="center"/>
    </xf>
    <xf numFmtId="0" fontId="3" fillId="0" borderId="0" xfId="0" applyFont="1" applyAlignment="1">
      <alignment vertical="center" wrapText="1"/>
    </xf>
    <xf numFmtId="0" fontId="3" fillId="5" borderId="0" xfId="0" applyFont="1" applyFill="1" applyAlignment="1">
      <alignment vertical="center" wrapText="1"/>
    </xf>
    <xf numFmtId="0" fontId="3" fillId="0" borderId="0" xfId="0" applyFont="1" applyAlignment="1">
      <alignment horizontal="center" vertical="center" wrapText="1"/>
    </xf>
    <xf numFmtId="0" fontId="3" fillId="0" borderId="16" xfId="0" applyFont="1" applyBorder="1" applyAlignment="1">
      <alignment wrapText="1"/>
    </xf>
    <xf numFmtId="0" fontId="3" fillId="4" borderId="0" xfId="0" applyFont="1" applyFill="1" applyAlignment="1">
      <alignment wrapText="1"/>
    </xf>
    <xf numFmtId="0" fontId="4" fillId="0" borderId="16" xfId="0" applyFont="1" applyBorder="1" applyAlignment="1">
      <alignment horizontal="left" wrapText="1"/>
    </xf>
    <xf numFmtId="0" fontId="3" fillId="0" borderId="5" xfId="0" applyFont="1" applyBorder="1" applyAlignment="1">
      <alignment horizontal="center" vertical="center" wrapText="1"/>
    </xf>
    <xf numFmtId="2" fontId="3" fillId="0" borderId="8" xfId="0" applyNumberFormat="1" applyFont="1" applyBorder="1" applyAlignment="1">
      <alignment horizontal="center" vertical="center"/>
    </xf>
    <xf numFmtId="2" fontId="3" fillId="0" borderId="3" xfId="0" applyNumberFormat="1" applyFont="1" applyBorder="1" applyAlignment="1">
      <alignment horizontal="center" vertical="center"/>
    </xf>
    <xf numFmtId="0" fontId="3" fillId="0" borderId="1" xfId="0" applyFont="1" applyBorder="1" applyAlignment="1">
      <alignment horizontal="center" vertical="center"/>
    </xf>
    <xf numFmtId="1" fontId="3" fillId="0" borderId="3" xfId="0" applyNumberFormat="1" applyFont="1" applyBorder="1" applyAlignment="1">
      <alignment horizontal="center" vertical="center"/>
    </xf>
    <xf numFmtId="1" fontId="3" fillId="0" borderId="8" xfId="0" applyNumberFormat="1" applyFont="1" applyBorder="1" applyAlignment="1">
      <alignment horizontal="center" vertical="center"/>
    </xf>
    <xf numFmtId="1" fontId="3" fillId="0" borderId="5" xfId="0" applyNumberFormat="1" applyFont="1" applyBorder="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DC812-2A6B-4705-BA4E-EE32396AA752}">
  <dimension ref="A1:C9"/>
  <sheetViews>
    <sheetView showGridLines="0" workbookViewId="0">
      <selection activeCell="C10" sqref="C10"/>
    </sheetView>
  </sheetViews>
  <sheetFormatPr defaultColWidth="9.140625" defaultRowHeight="16.5" x14ac:dyDescent="0.3"/>
  <cols>
    <col min="1" max="1" width="31.85546875" style="17" customWidth="1"/>
    <col min="2" max="2" width="20.42578125" style="17" hidden="1" customWidth="1"/>
    <col min="3" max="3" width="67" style="17" bestFit="1" customWidth="1"/>
    <col min="4" max="4" width="12.7109375" style="17" bestFit="1" customWidth="1"/>
    <col min="5" max="5" width="11" style="17" bestFit="1" customWidth="1"/>
    <col min="6" max="16384" width="9.140625" style="17"/>
  </cols>
  <sheetData>
    <row r="1" spans="1:3" ht="21" thickBot="1" x14ac:dyDescent="0.4">
      <c r="A1" s="15" t="s">
        <v>41</v>
      </c>
      <c r="B1" s="16" t="s">
        <v>9</v>
      </c>
      <c r="C1" s="38" t="s">
        <v>10</v>
      </c>
    </row>
    <row r="2" spans="1:3" x14ac:dyDescent="0.3">
      <c r="A2" s="34" t="s">
        <v>62</v>
      </c>
      <c r="B2" s="18" t="s">
        <v>8</v>
      </c>
      <c r="C2" s="39">
        <v>7</v>
      </c>
    </row>
    <row r="3" spans="1:3" ht="17.25" thickBot="1" x14ac:dyDescent="0.35">
      <c r="A3" s="21" t="s">
        <v>63</v>
      </c>
      <c r="B3" s="31" t="s">
        <v>0</v>
      </c>
      <c r="C3" s="40">
        <f ca="1">TODAY()</f>
        <v>46306</v>
      </c>
    </row>
    <row r="4" spans="1:3" x14ac:dyDescent="0.3">
      <c r="A4" s="22" t="s">
        <v>64</v>
      </c>
      <c r="B4" s="32" t="s">
        <v>31</v>
      </c>
      <c r="C4" s="41">
        <f ca="1">$C$3-1</f>
        <v>46305</v>
      </c>
    </row>
    <row r="5" spans="1:3" ht="17.25" thickBot="1" x14ac:dyDescent="0.35">
      <c r="A5" s="21" t="s">
        <v>65</v>
      </c>
      <c r="B5" s="31" t="s">
        <v>30</v>
      </c>
      <c r="C5" s="40">
        <f ca="1">$C$3-2</f>
        <v>46304</v>
      </c>
    </row>
    <row r="6" spans="1:3" x14ac:dyDescent="0.3">
      <c r="A6" s="22" t="s">
        <v>66</v>
      </c>
      <c r="B6" s="32" t="s">
        <v>32</v>
      </c>
      <c r="C6" s="41">
        <f ca="1">$C$3+1</f>
        <v>46307</v>
      </c>
    </row>
    <row r="7" spans="1:3" x14ac:dyDescent="0.3">
      <c r="A7" s="23" t="s">
        <v>67</v>
      </c>
      <c r="B7" s="33" t="s">
        <v>33</v>
      </c>
      <c r="C7" s="42">
        <f ca="1">$C$3+2</f>
        <v>46308</v>
      </c>
    </row>
    <row r="8" spans="1:3" ht="17.25" thickBot="1" x14ac:dyDescent="0.35">
      <c r="A8" s="21" t="s">
        <v>68</v>
      </c>
      <c r="B8" s="31" t="s">
        <v>34</v>
      </c>
      <c r="C8" s="40">
        <f ca="1">$C$3+3</f>
        <v>46309</v>
      </c>
    </row>
    <row r="9" spans="1:3" ht="17.25" thickBot="1" x14ac:dyDescent="0.35">
      <c r="A9" s="19" t="s">
        <v>166</v>
      </c>
      <c r="B9" s="20" t="s">
        <v>167</v>
      </c>
      <c r="C9" s="43" t="s">
        <v>426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DC221-CFDF-4572-98F1-7407159CEFB9}">
  <dimension ref="A1:C36"/>
  <sheetViews>
    <sheetView showGridLines="0" workbookViewId="0">
      <pane ySplit="1" topLeftCell="A2" activePane="bottomLeft" state="frozen"/>
      <selection pane="bottomLeft" activeCell="C36" sqref="C36"/>
    </sheetView>
  </sheetViews>
  <sheetFormatPr defaultColWidth="9.140625" defaultRowHeight="16.5" x14ac:dyDescent="0.25"/>
  <cols>
    <col min="1" max="1" width="56.5703125" style="5" bestFit="1" customWidth="1"/>
    <col min="2" max="2" width="30.28515625" style="14" hidden="1" customWidth="1"/>
    <col min="3" max="3" width="48.28515625" style="5" customWidth="1"/>
    <col min="4" max="16384" width="9.140625" style="5"/>
  </cols>
  <sheetData>
    <row r="1" spans="1:3" s="4" customFormat="1" ht="21" thickBot="1" x14ac:dyDescent="0.3">
      <c r="A1" s="1" t="s">
        <v>41</v>
      </c>
      <c r="B1" s="2" t="s">
        <v>9</v>
      </c>
      <c r="C1" s="3" t="s">
        <v>10</v>
      </c>
    </row>
    <row r="2" spans="1:3" x14ac:dyDescent="0.25">
      <c r="A2" s="26" t="s">
        <v>69</v>
      </c>
      <c r="B2" s="7" t="s">
        <v>3</v>
      </c>
      <c r="C2" s="72">
        <v>2.08</v>
      </c>
    </row>
    <row r="3" spans="1:3" x14ac:dyDescent="0.25">
      <c r="A3" s="25" t="s">
        <v>42</v>
      </c>
      <c r="B3" s="5" t="s">
        <v>6</v>
      </c>
      <c r="C3" s="71">
        <v>2.12</v>
      </c>
    </row>
    <row r="4" spans="1:3" x14ac:dyDescent="0.25">
      <c r="A4" s="24" t="s">
        <v>43</v>
      </c>
      <c r="B4" s="29" t="s">
        <v>16</v>
      </c>
      <c r="C4" s="30" t="str">
        <f>IF((C2-C3)&gt;=0,ROUND((C2-C3)*100,0),"")</f>
        <v/>
      </c>
    </row>
    <row r="5" spans="1:3" ht="17.25" thickBot="1" x14ac:dyDescent="0.3">
      <c r="A5" s="35" t="s">
        <v>44</v>
      </c>
      <c r="B5" s="36" t="s">
        <v>1</v>
      </c>
      <c r="C5" s="37" t="str">
        <f>IF(C4=0,"Permanece",IF(C4="","Baja","Sube"))</f>
        <v>Baja</v>
      </c>
    </row>
    <row r="6" spans="1:3" x14ac:dyDescent="0.25">
      <c r="A6" s="26" t="s">
        <v>45</v>
      </c>
      <c r="B6" s="7" t="s">
        <v>4</v>
      </c>
      <c r="C6" s="72">
        <v>4.55</v>
      </c>
    </row>
    <row r="7" spans="1:3" x14ac:dyDescent="0.25">
      <c r="A7" s="25" t="s">
        <v>46</v>
      </c>
      <c r="B7" s="5" t="s">
        <v>7</v>
      </c>
      <c r="C7" s="71">
        <v>4.51</v>
      </c>
    </row>
    <row r="8" spans="1:3" x14ac:dyDescent="0.25">
      <c r="A8" s="25" t="s">
        <v>331</v>
      </c>
      <c r="B8" s="5" t="s">
        <v>332</v>
      </c>
      <c r="C8" s="6" t="s">
        <v>244</v>
      </c>
    </row>
    <row r="9" spans="1:3" x14ac:dyDescent="0.25">
      <c r="A9" s="24" t="s">
        <v>43</v>
      </c>
      <c r="B9" s="29" t="s">
        <v>17</v>
      </c>
      <c r="C9" s="30">
        <f>IF((C6-C7)&gt;=0,ROUND((C6-C7)*100,0),"")</f>
        <v>4</v>
      </c>
    </row>
    <row r="10" spans="1:3" ht="17.25" thickBot="1" x14ac:dyDescent="0.3">
      <c r="A10" s="35" t="s">
        <v>44</v>
      </c>
      <c r="B10" s="36" t="s">
        <v>2</v>
      </c>
      <c r="C10" s="37" t="str">
        <f>IF(C9=0,"Permanece",IF(C9="","Baja","Sube"))</f>
        <v>Sube</v>
      </c>
    </row>
    <row r="11" spans="1:3" x14ac:dyDescent="0.25">
      <c r="A11" s="26" t="s">
        <v>47</v>
      </c>
      <c r="B11" s="7" t="s">
        <v>5</v>
      </c>
      <c r="C11" s="72">
        <v>4.51</v>
      </c>
    </row>
    <row r="12" spans="1:3" x14ac:dyDescent="0.25">
      <c r="A12" s="25" t="s">
        <v>48</v>
      </c>
      <c r="B12" s="5" t="s">
        <v>11</v>
      </c>
      <c r="C12" s="71">
        <v>4.5599999999999996</v>
      </c>
    </row>
    <row r="13" spans="1:3" x14ac:dyDescent="0.25">
      <c r="A13" s="25" t="s">
        <v>334</v>
      </c>
      <c r="B13" s="5" t="s">
        <v>333</v>
      </c>
      <c r="C13" s="6"/>
    </row>
    <row r="14" spans="1:3" x14ac:dyDescent="0.25">
      <c r="A14" s="24" t="s">
        <v>43</v>
      </c>
      <c r="B14" s="29" t="s">
        <v>18</v>
      </c>
      <c r="C14" s="30" t="str">
        <f>IF((C11-C12)&gt;=0,ROUND((C11-C12)*100,0),"")</f>
        <v/>
      </c>
    </row>
    <row r="15" spans="1:3" ht="17.25" thickBot="1" x14ac:dyDescent="0.3">
      <c r="A15" s="35" t="s">
        <v>44</v>
      </c>
      <c r="B15" s="36" t="s">
        <v>12</v>
      </c>
      <c r="C15" s="37" t="str">
        <f>IF(C14=0,"Permanece",IF(C14="","Baja","Sube"))</f>
        <v>Baja</v>
      </c>
    </row>
    <row r="16" spans="1:3" x14ac:dyDescent="0.25">
      <c r="A16" s="25" t="s">
        <v>49</v>
      </c>
      <c r="B16" s="5" t="s">
        <v>13</v>
      </c>
      <c r="C16" s="71">
        <v>2.31</v>
      </c>
    </row>
    <row r="17" spans="1:3" x14ac:dyDescent="0.25">
      <c r="A17" s="25" t="s">
        <v>50</v>
      </c>
      <c r="B17" s="5" t="s">
        <v>14</v>
      </c>
      <c r="C17" s="71">
        <v>2.3199999999999998</v>
      </c>
    </row>
    <row r="18" spans="1:3" x14ac:dyDescent="0.25">
      <c r="A18" s="25" t="s">
        <v>334</v>
      </c>
      <c r="B18" s="5" t="s">
        <v>326</v>
      </c>
      <c r="C18" s="6"/>
    </row>
    <row r="19" spans="1:3" x14ac:dyDescent="0.25">
      <c r="A19" s="24" t="s">
        <v>43</v>
      </c>
      <c r="B19" s="29" t="s">
        <v>19</v>
      </c>
      <c r="C19" s="30" t="str">
        <f>IF((C16-C17)&gt;=0,ROUND((C16-C17)*100,0),"")</f>
        <v/>
      </c>
    </row>
    <row r="20" spans="1:3" ht="17.25" thickBot="1" x14ac:dyDescent="0.3">
      <c r="A20" s="35" t="s">
        <v>44</v>
      </c>
      <c r="B20" s="36" t="s">
        <v>15</v>
      </c>
      <c r="C20" s="37" t="str">
        <f>IF(C19=0,"Permanece",IF(C19="","Baja","Sube"))</f>
        <v>Baja</v>
      </c>
    </row>
    <row r="21" spans="1:3" x14ac:dyDescent="0.25">
      <c r="A21" s="26" t="s">
        <v>403</v>
      </c>
      <c r="B21" s="7" t="s">
        <v>20</v>
      </c>
      <c r="C21" s="74">
        <v>0</v>
      </c>
    </row>
    <row r="22" spans="1:3" x14ac:dyDescent="0.25">
      <c r="A22" s="25" t="s">
        <v>402</v>
      </c>
      <c r="B22" s="5" t="s">
        <v>21</v>
      </c>
      <c r="C22" s="75">
        <v>0</v>
      </c>
    </row>
    <row r="23" spans="1:3" x14ac:dyDescent="0.25">
      <c r="A23" s="25" t="s">
        <v>404</v>
      </c>
      <c r="B23" s="5" t="s">
        <v>22</v>
      </c>
      <c r="C23" s="75">
        <v>49</v>
      </c>
    </row>
    <row r="24" spans="1:3" x14ac:dyDescent="0.25">
      <c r="A24" s="25" t="s">
        <v>51</v>
      </c>
      <c r="B24" s="5" t="s">
        <v>23</v>
      </c>
      <c r="C24" s="75">
        <v>0</v>
      </c>
    </row>
    <row r="25" spans="1:3" x14ac:dyDescent="0.25">
      <c r="A25" s="25" t="s">
        <v>52</v>
      </c>
      <c r="B25" s="5" t="s">
        <v>24</v>
      </c>
      <c r="C25" s="75">
        <v>3</v>
      </c>
    </row>
    <row r="26" spans="1:3" ht="17.25" thickBot="1" x14ac:dyDescent="0.3">
      <c r="A26" s="27" t="s">
        <v>405</v>
      </c>
      <c r="B26" s="8" t="s">
        <v>25</v>
      </c>
      <c r="C26" s="76">
        <v>9</v>
      </c>
    </row>
    <row r="27" spans="1:3" x14ac:dyDescent="0.25">
      <c r="A27" s="26" t="s">
        <v>53</v>
      </c>
      <c r="B27" s="7" t="s">
        <v>26</v>
      </c>
      <c r="C27" s="9" t="s">
        <v>244</v>
      </c>
    </row>
    <row r="28" spans="1:3" ht="17.25" thickBot="1" x14ac:dyDescent="0.3">
      <c r="A28" s="27" t="s">
        <v>57</v>
      </c>
      <c r="B28" s="8" t="s">
        <v>35</v>
      </c>
      <c r="C28" s="10" t="s">
        <v>244</v>
      </c>
    </row>
    <row r="29" spans="1:3" x14ac:dyDescent="0.25">
      <c r="A29" s="26" t="s">
        <v>276</v>
      </c>
      <c r="B29" s="7" t="s">
        <v>27</v>
      </c>
      <c r="C29" s="9" t="s">
        <v>244</v>
      </c>
    </row>
    <row r="30" spans="1:3" ht="17.25" thickBot="1" x14ac:dyDescent="0.3">
      <c r="A30" s="27" t="s">
        <v>56</v>
      </c>
      <c r="B30" s="8" t="s">
        <v>36</v>
      </c>
      <c r="C30" s="10" t="s">
        <v>244</v>
      </c>
    </row>
    <row r="31" spans="1:3" x14ac:dyDescent="0.25">
      <c r="A31" s="26" t="s">
        <v>54</v>
      </c>
      <c r="B31" s="7" t="s">
        <v>28</v>
      </c>
      <c r="C31" s="9" t="s">
        <v>244</v>
      </c>
    </row>
    <row r="32" spans="1:3" ht="17.25" thickBot="1" x14ac:dyDescent="0.3">
      <c r="A32" s="27" t="s">
        <v>58</v>
      </c>
      <c r="B32" s="8" t="s">
        <v>37</v>
      </c>
      <c r="C32" s="10" t="s">
        <v>244</v>
      </c>
    </row>
    <row r="33" spans="1:3" x14ac:dyDescent="0.25">
      <c r="A33" s="26" t="s">
        <v>55</v>
      </c>
      <c r="B33" s="7" t="s">
        <v>29</v>
      </c>
      <c r="C33" s="9" t="s">
        <v>244</v>
      </c>
    </row>
    <row r="34" spans="1:3" ht="17.25" thickBot="1" x14ac:dyDescent="0.3">
      <c r="A34" s="27" t="s">
        <v>59</v>
      </c>
      <c r="B34" s="8" t="s">
        <v>38</v>
      </c>
      <c r="C34" s="10" t="s">
        <v>244</v>
      </c>
    </row>
    <row r="35" spans="1:3" ht="83.25" thickBot="1" x14ac:dyDescent="0.3">
      <c r="A35" s="26" t="s">
        <v>60</v>
      </c>
      <c r="B35" s="7" t="s">
        <v>39</v>
      </c>
      <c r="C35" s="11" t="s">
        <v>421</v>
      </c>
    </row>
    <row r="36" spans="1:3" ht="33.75" thickBot="1" x14ac:dyDescent="0.3">
      <c r="A36" s="28" t="s">
        <v>61</v>
      </c>
      <c r="B36" s="12" t="s">
        <v>40</v>
      </c>
      <c r="C36" s="13" t="s">
        <v>394</v>
      </c>
    </row>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xr:uid="{1DE1DB0E-7B03-48DE-B314-D53D3226DECC}">
          <x14:formula1>
            <xm:f>Tablas!$A$2:$A$7</xm:f>
          </x14:formula1>
          <xm:sqref>C36</xm:sqref>
        </x14:dataValidation>
        <x14:dataValidation type="list" allowBlank="1" showInputMessage="1" xr:uid="{6DF3896D-506A-456A-B75B-8B6AC6A47184}">
          <x14:formula1>
            <xm:f>Tablas!$L$23</xm:f>
          </x14:formula1>
          <xm:sqref>C35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A6E30-A876-45F0-8067-30FAF0E80436}">
  <dimension ref="A1:K43"/>
  <sheetViews>
    <sheetView showGridLines="0" topLeftCell="A13" workbookViewId="0">
      <selection activeCell="C30" sqref="C30"/>
    </sheetView>
  </sheetViews>
  <sheetFormatPr defaultColWidth="9.140625" defaultRowHeight="16.5" x14ac:dyDescent="0.25"/>
  <cols>
    <col min="1" max="1" width="52.5703125" style="5" bestFit="1" customWidth="1"/>
    <col min="2" max="2" width="30.28515625" style="14" hidden="1" customWidth="1"/>
    <col min="3" max="3" width="48.28515625" style="5" customWidth="1"/>
    <col min="4" max="16384" width="9.140625" style="5"/>
  </cols>
  <sheetData>
    <row r="1" spans="1:3" s="4" customFormat="1" ht="21" thickBot="1" x14ac:dyDescent="0.3">
      <c r="A1" s="1" t="s">
        <v>41</v>
      </c>
      <c r="B1" s="2" t="s">
        <v>9</v>
      </c>
      <c r="C1" s="3" t="s">
        <v>10</v>
      </c>
    </row>
    <row r="2" spans="1:3" x14ac:dyDescent="0.25">
      <c r="A2" s="25" t="s">
        <v>96</v>
      </c>
      <c r="B2" s="5" t="s">
        <v>78</v>
      </c>
      <c r="C2" s="71">
        <v>4.41</v>
      </c>
    </row>
    <row r="3" spans="1:3" x14ac:dyDescent="0.25">
      <c r="A3" s="25" t="s">
        <v>97</v>
      </c>
      <c r="B3" s="5" t="s">
        <v>79</v>
      </c>
      <c r="C3" s="71">
        <v>4.45</v>
      </c>
    </row>
    <row r="4" spans="1:3" x14ac:dyDescent="0.25">
      <c r="A4" s="25" t="s">
        <v>325</v>
      </c>
      <c r="B4" s="5" t="s">
        <v>326</v>
      </c>
      <c r="C4" s="6" t="s">
        <v>244</v>
      </c>
    </row>
    <row r="5" spans="1:3" x14ac:dyDescent="0.25">
      <c r="A5" s="24" t="s">
        <v>43</v>
      </c>
      <c r="B5" s="29" t="s">
        <v>80</v>
      </c>
      <c r="C5" s="30" t="str">
        <f>IF((C2-C3)&gt;=0,ROUND((C2-C3)*100,0),"")</f>
        <v/>
      </c>
    </row>
    <row r="6" spans="1:3" ht="17.25" thickBot="1" x14ac:dyDescent="0.3">
      <c r="A6" s="24" t="s">
        <v>44</v>
      </c>
      <c r="B6" s="29" t="s">
        <v>81</v>
      </c>
      <c r="C6" s="37" t="str">
        <f>IF(C5=0,"Permanece",IF(C5="","Baja","Sube"))</f>
        <v>Baja</v>
      </c>
    </row>
    <row r="7" spans="1:3" x14ac:dyDescent="0.25">
      <c r="A7" s="25" t="s">
        <v>105</v>
      </c>
      <c r="B7" s="5" t="s">
        <v>84</v>
      </c>
      <c r="C7" s="71">
        <v>2.84</v>
      </c>
    </row>
    <row r="8" spans="1:3" x14ac:dyDescent="0.25">
      <c r="A8" s="25" t="s">
        <v>106</v>
      </c>
      <c r="B8" s="5" t="s">
        <v>85</v>
      </c>
      <c r="C8" s="71">
        <v>2.86</v>
      </c>
    </row>
    <row r="9" spans="1:3" x14ac:dyDescent="0.25">
      <c r="A9" s="25" t="s">
        <v>327</v>
      </c>
      <c r="B9" s="5" t="s">
        <v>328</v>
      </c>
      <c r="C9" s="6" t="s">
        <v>244</v>
      </c>
    </row>
    <row r="10" spans="1:3" x14ac:dyDescent="0.25">
      <c r="A10" s="24" t="s">
        <v>43</v>
      </c>
      <c r="B10" s="29" t="s">
        <v>86</v>
      </c>
      <c r="C10" s="30" t="str">
        <f>IF((C7-C8)&gt;=0,ROUND((C7-C8)*100,0),"")</f>
        <v/>
      </c>
    </row>
    <row r="11" spans="1:3" ht="17.25" thickBot="1" x14ac:dyDescent="0.3">
      <c r="A11" s="24" t="s">
        <v>44</v>
      </c>
      <c r="B11" s="29" t="s">
        <v>87</v>
      </c>
      <c r="C11" s="37" t="str">
        <f>IF(C10=0,"Permanece",IF(C10="","Baja","Sube"))</f>
        <v>Baja</v>
      </c>
    </row>
    <row r="12" spans="1:3" x14ac:dyDescent="0.25">
      <c r="A12" s="25" t="s">
        <v>101</v>
      </c>
      <c r="B12" s="5" t="s">
        <v>90</v>
      </c>
      <c r="C12" s="71">
        <v>3.9</v>
      </c>
    </row>
    <row r="13" spans="1:3" x14ac:dyDescent="0.25">
      <c r="A13" s="25" t="s">
        <v>102</v>
      </c>
      <c r="B13" s="5" t="s">
        <v>91</v>
      </c>
      <c r="C13" s="71">
        <v>3.92</v>
      </c>
    </row>
    <row r="14" spans="1:3" x14ac:dyDescent="0.25">
      <c r="A14" s="25" t="s">
        <v>330</v>
      </c>
      <c r="B14" s="5" t="s">
        <v>329</v>
      </c>
      <c r="C14" s="6" t="s">
        <v>244</v>
      </c>
    </row>
    <row r="15" spans="1:3" x14ac:dyDescent="0.25">
      <c r="A15" s="24" t="s">
        <v>43</v>
      </c>
      <c r="B15" s="29" t="s">
        <v>92</v>
      </c>
      <c r="C15" s="30" t="str">
        <f>IF((C12-C13)&gt;=0,ROUND((C12-C13)*100,0),"")</f>
        <v/>
      </c>
    </row>
    <row r="16" spans="1:3" ht="17.25" thickBot="1" x14ac:dyDescent="0.3">
      <c r="A16" s="24" t="s">
        <v>44</v>
      </c>
      <c r="B16" s="29" t="s">
        <v>93</v>
      </c>
      <c r="C16" s="37" t="str">
        <f>IF(C15=0,"Permanece",IF(C15="","Baja","Sube"))</f>
        <v>Baja</v>
      </c>
    </row>
    <row r="17" spans="1:11" x14ac:dyDescent="0.25">
      <c r="A17" s="26" t="s">
        <v>403</v>
      </c>
      <c r="B17" s="7" t="s">
        <v>70</v>
      </c>
      <c r="C17" s="74">
        <v>0</v>
      </c>
    </row>
    <row r="18" spans="1:11" x14ac:dyDescent="0.25">
      <c r="A18" s="25" t="s">
        <v>402</v>
      </c>
      <c r="B18" s="5" t="s">
        <v>71</v>
      </c>
      <c r="C18" s="75">
        <v>10</v>
      </c>
    </row>
    <row r="19" spans="1:11" x14ac:dyDescent="0.25">
      <c r="A19" s="25" t="s">
        <v>404</v>
      </c>
      <c r="B19" s="5" t="s">
        <v>72</v>
      </c>
      <c r="C19" s="75">
        <v>51</v>
      </c>
    </row>
    <row r="20" spans="1:11" x14ac:dyDescent="0.25">
      <c r="A20" s="25" t="s">
        <v>51</v>
      </c>
      <c r="B20" s="5" t="s">
        <v>73</v>
      </c>
      <c r="C20" s="75">
        <v>1</v>
      </c>
    </row>
    <row r="21" spans="1:11" x14ac:dyDescent="0.25">
      <c r="A21" s="25" t="s">
        <v>52</v>
      </c>
      <c r="B21" s="5" t="s">
        <v>74</v>
      </c>
      <c r="C21" s="75">
        <v>2</v>
      </c>
    </row>
    <row r="22" spans="1:11" ht="17.25" thickBot="1" x14ac:dyDescent="0.3">
      <c r="A22" s="27" t="s">
        <v>405</v>
      </c>
      <c r="B22" s="8" t="s">
        <v>75</v>
      </c>
      <c r="C22" s="76">
        <v>7</v>
      </c>
    </row>
    <row r="23" spans="1:11" ht="17.25" thickBot="1" x14ac:dyDescent="0.3">
      <c r="A23" s="26" t="s">
        <v>98</v>
      </c>
      <c r="B23" s="7" t="s">
        <v>82</v>
      </c>
      <c r="C23" s="73" t="s">
        <v>244</v>
      </c>
    </row>
    <row r="24" spans="1:11" ht="17.25" thickBot="1" x14ac:dyDescent="0.3">
      <c r="A24" s="27" t="s">
        <v>99</v>
      </c>
      <c r="B24" s="8" t="s">
        <v>83</v>
      </c>
      <c r="C24" s="9" t="s">
        <v>244</v>
      </c>
    </row>
    <row r="25" spans="1:11" ht="17.25" thickBot="1" x14ac:dyDescent="0.3">
      <c r="A25" s="26" t="s">
        <v>107</v>
      </c>
      <c r="B25" s="7" t="s">
        <v>88</v>
      </c>
      <c r="C25" s="9" t="s">
        <v>244</v>
      </c>
    </row>
    <row r="26" spans="1:11" ht="17.25" thickBot="1" x14ac:dyDescent="0.3">
      <c r="A26" s="27" t="s">
        <v>100</v>
      </c>
      <c r="B26" s="8" t="s">
        <v>89</v>
      </c>
      <c r="C26" s="9" t="s">
        <v>244</v>
      </c>
    </row>
    <row r="27" spans="1:11" x14ac:dyDescent="0.25">
      <c r="A27" s="26" t="s">
        <v>103</v>
      </c>
      <c r="B27" s="7" t="s">
        <v>94</v>
      </c>
      <c r="C27" s="9" t="s">
        <v>407</v>
      </c>
    </row>
    <row r="28" spans="1:11" ht="17.25" thickBot="1" x14ac:dyDescent="0.3">
      <c r="A28" s="27" t="s">
        <v>104</v>
      </c>
      <c r="B28" s="8" t="s">
        <v>95</v>
      </c>
      <c r="C28" s="10" t="s">
        <v>406</v>
      </c>
    </row>
    <row r="29" spans="1:11" ht="182.25" thickBot="1" x14ac:dyDescent="0.3">
      <c r="A29" s="26" t="s">
        <v>60</v>
      </c>
      <c r="B29" s="7" t="s">
        <v>76</v>
      </c>
      <c r="C29" s="11" t="s">
        <v>408</v>
      </c>
    </row>
    <row r="30" spans="1:11" ht="66.75" thickBot="1" x14ac:dyDescent="0.3">
      <c r="A30" s="28" t="s">
        <v>61</v>
      </c>
      <c r="B30" s="12" t="s">
        <v>77</v>
      </c>
      <c r="C30" s="13" t="s">
        <v>395</v>
      </c>
    </row>
    <row r="31" spans="1:11" x14ac:dyDescent="0.3">
      <c r="K31" s="45"/>
    </row>
    <row r="32" spans="1:11" x14ac:dyDescent="0.3">
      <c r="K32" s="45"/>
    </row>
    <row r="33" spans="11:11" x14ac:dyDescent="0.3">
      <c r="K33" s="45"/>
    </row>
    <row r="34" spans="11:11" x14ac:dyDescent="0.3">
      <c r="K34" s="45"/>
    </row>
    <row r="35" spans="11:11" x14ac:dyDescent="0.3">
      <c r="K35" s="45"/>
    </row>
    <row r="36" spans="11:11" x14ac:dyDescent="0.3">
      <c r="K36" s="45"/>
    </row>
    <row r="37" spans="11:11" x14ac:dyDescent="0.3">
      <c r="K37" s="45"/>
    </row>
    <row r="38" spans="11:11" x14ac:dyDescent="0.3">
      <c r="K38" s="45"/>
    </row>
    <row r="39" spans="11:11" x14ac:dyDescent="0.3">
      <c r="K39" s="45"/>
    </row>
    <row r="40" spans="11:11" x14ac:dyDescent="0.3">
      <c r="K40" s="45"/>
    </row>
    <row r="41" spans="11:11" x14ac:dyDescent="0.3">
      <c r="K41" s="45"/>
    </row>
    <row r="42" spans="11:11" x14ac:dyDescent="0.3">
      <c r="K42" s="45"/>
    </row>
    <row r="43" spans="11:11" x14ac:dyDescent="0.3">
      <c r="K43" s="45"/>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xr:uid="{5F804CF7-D2BC-4BC8-B0ED-1D414EDF4E42}">
          <x14:formula1>
            <xm:f>Tablas!$A$2:$A$7</xm:f>
          </x14:formula1>
          <xm:sqref>C30</xm:sqref>
        </x14:dataValidation>
        <x14:dataValidation type="list" allowBlank="1" showInputMessage="1" xr:uid="{8E631EEA-DE15-4153-B100-3BC6934A86F6}">
          <x14:formula1>
            <xm:f>Tablas!$L$24</xm:f>
          </x14:formula1>
          <xm:sqref>C29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2CEB0-09AB-4ABD-86C9-DCBCC2E88044}">
  <dimension ref="A1:C41"/>
  <sheetViews>
    <sheetView showGridLines="0" topLeftCell="A29" workbookViewId="0">
      <selection activeCell="C41" sqref="C41"/>
    </sheetView>
  </sheetViews>
  <sheetFormatPr defaultColWidth="9.140625" defaultRowHeight="16.5" x14ac:dyDescent="0.25"/>
  <cols>
    <col min="1" max="1" width="52.5703125" style="5" bestFit="1" customWidth="1"/>
    <col min="2" max="2" width="30.28515625" style="14" hidden="1" customWidth="1"/>
    <col min="3" max="3" width="48.28515625" style="5" customWidth="1"/>
    <col min="4" max="16384" width="9.140625" style="5"/>
  </cols>
  <sheetData>
    <row r="1" spans="1:3" s="4" customFormat="1" ht="21" thickBot="1" x14ac:dyDescent="0.3">
      <c r="A1" s="1" t="s">
        <v>41</v>
      </c>
      <c r="B1" s="2" t="s">
        <v>9</v>
      </c>
      <c r="C1" s="3" t="s">
        <v>10</v>
      </c>
    </row>
    <row r="2" spans="1:3" x14ac:dyDescent="0.25">
      <c r="A2" s="26" t="s">
        <v>140</v>
      </c>
      <c r="B2" s="7" t="s">
        <v>158</v>
      </c>
      <c r="C2" s="72">
        <v>0.72</v>
      </c>
    </row>
    <row r="3" spans="1:3" x14ac:dyDescent="0.25">
      <c r="A3" s="25" t="s">
        <v>141</v>
      </c>
      <c r="B3" s="5" t="s">
        <v>159</v>
      </c>
      <c r="C3" s="71">
        <v>0.74</v>
      </c>
    </row>
    <row r="4" spans="1:3" x14ac:dyDescent="0.25">
      <c r="A4" s="25" t="s">
        <v>315</v>
      </c>
      <c r="B4" s="5" t="s">
        <v>316</v>
      </c>
      <c r="C4" s="6" t="s">
        <v>244</v>
      </c>
    </row>
    <row r="5" spans="1:3" x14ac:dyDescent="0.25">
      <c r="A5" s="24" t="s">
        <v>43</v>
      </c>
      <c r="B5" s="29" t="s">
        <v>160</v>
      </c>
      <c r="C5" s="30" t="str">
        <f>IF((C2-C3)&gt;=0,ROUND((C2-C3)*100,0),"")</f>
        <v/>
      </c>
    </row>
    <row r="6" spans="1:3" ht="17.25" thickBot="1" x14ac:dyDescent="0.3">
      <c r="A6" s="35" t="s">
        <v>44</v>
      </c>
      <c r="B6" s="36" t="s">
        <v>161</v>
      </c>
      <c r="C6" s="37" t="str">
        <f>IF(C5=0,"Permanece",IF(C5="","Baja","Sube"))</f>
        <v>Baja</v>
      </c>
    </row>
    <row r="7" spans="1:3" x14ac:dyDescent="0.25">
      <c r="A7" s="26" t="s">
        <v>144</v>
      </c>
      <c r="B7" s="7" t="s">
        <v>118</v>
      </c>
      <c r="C7" s="72">
        <v>0.63</v>
      </c>
    </row>
    <row r="8" spans="1:3" x14ac:dyDescent="0.25">
      <c r="A8" s="25" t="s">
        <v>145</v>
      </c>
      <c r="B8" s="5" t="s">
        <v>119</v>
      </c>
      <c r="C8" s="71">
        <v>0.65</v>
      </c>
    </row>
    <row r="9" spans="1:3" x14ac:dyDescent="0.25">
      <c r="A9" s="25" t="s">
        <v>317</v>
      </c>
      <c r="B9" s="5" t="s">
        <v>318</v>
      </c>
      <c r="C9" s="6" t="s">
        <v>244</v>
      </c>
    </row>
    <row r="10" spans="1:3" x14ac:dyDescent="0.25">
      <c r="A10" s="24" t="s">
        <v>43</v>
      </c>
      <c r="B10" s="29" t="s">
        <v>120</v>
      </c>
      <c r="C10" s="30" t="str">
        <f>IF((C7-C8)&gt;=0,ROUND((C7-C8)*100,0),"")</f>
        <v/>
      </c>
    </row>
    <row r="11" spans="1:3" ht="17.25" thickBot="1" x14ac:dyDescent="0.3">
      <c r="A11" s="35" t="s">
        <v>44</v>
      </c>
      <c r="B11" s="36" t="s">
        <v>121</v>
      </c>
      <c r="C11" s="37" t="str">
        <f>IF(C10=0,"Permanece",IF(C10="","Baja","Sube"))</f>
        <v>Baja</v>
      </c>
    </row>
    <row r="12" spans="1:3" x14ac:dyDescent="0.25">
      <c r="A12" s="26" t="s">
        <v>132</v>
      </c>
      <c r="B12" s="7" t="s">
        <v>162</v>
      </c>
      <c r="C12" s="72">
        <v>4.3499999999999996</v>
      </c>
    </row>
    <row r="13" spans="1:3" x14ac:dyDescent="0.25">
      <c r="A13" s="25" t="s">
        <v>133</v>
      </c>
      <c r="B13" s="5" t="s">
        <v>163</v>
      </c>
      <c r="C13" s="71">
        <v>4.4000000000000004</v>
      </c>
    </row>
    <row r="14" spans="1:3" x14ac:dyDescent="0.25">
      <c r="A14" s="25" t="s">
        <v>321</v>
      </c>
      <c r="B14" s="5" t="s">
        <v>322</v>
      </c>
      <c r="C14" s="6"/>
    </row>
    <row r="15" spans="1:3" x14ac:dyDescent="0.25">
      <c r="A15" s="24" t="s">
        <v>43</v>
      </c>
      <c r="B15" s="29" t="s">
        <v>164</v>
      </c>
      <c r="C15" s="30" t="str">
        <f>IF((C12-C13)&gt;=0,ROUND((C12-C13)*100,0),"")</f>
        <v/>
      </c>
    </row>
    <row r="16" spans="1:3" ht="17.25" thickBot="1" x14ac:dyDescent="0.3">
      <c r="A16" s="35" t="s">
        <v>44</v>
      </c>
      <c r="B16" s="36" t="s">
        <v>165</v>
      </c>
      <c r="C16" s="37" t="str">
        <f>IF(C15=0,"Permanece",IF(C15="","Baja","Sube"))</f>
        <v>Baja</v>
      </c>
    </row>
    <row r="17" spans="1:3" x14ac:dyDescent="0.25">
      <c r="A17" s="25" t="s">
        <v>136</v>
      </c>
      <c r="B17" s="5" t="s">
        <v>126</v>
      </c>
      <c r="C17" s="71">
        <v>2.96</v>
      </c>
    </row>
    <row r="18" spans="1:3" x14ac:dyDescent="0.25">
      <c r="A18" s="25" t="s">
        <v>137</v>
      </c>
      <c r="B18" s="5" t="s">
        <v>127</v>
      </c>
      <c r="C18" s="71">
        <v>2.98</v>
      </c>
    </row>
    <row r="19" spans="1:3" x14ac:dyDescent="0.25">
      <c r="A19" s="25" t="s">
        <v>323</v>
      </c>
      <c r="B19" s="5" t="s">
        <v>324</v>
      </c>
      <c r="C19" s="6"/>
    </row>
    <row r="20" spans="1:3" x14ac:dyDescent="0.25">
      <c r="A20" s="24" t="s">
        <v>43</v>
      </c>
      <c r="B20" s="29" t="s">
        <v>128</v>
      </c>
      <c r="C20" s="30">
        <f>IFERROR(ROUND(ABS(C17-C18)*100,0),"-")</f>
        <v>2</v>
      </c>
    </row>
    <row r="21" spans="1:3" ht="17.25" thickBot="1" x14ac:dyDescent="0.3">
      <c r="A21" s="35" t="s">
        <v>44</v>
      </c>
      <c r="B21" s="36" t="s">
        <v>129</v>
      </c>
      <c r="C21" s="37" t="str">
        <f>IFERROR(IF(C20=0,"Permanece",IF(SIGN(C20)=1,"Sube","Baja")),"-")</f>
        <v>Sube</v>
      </c>
    </row>
    <row r="22" spans="1:3" x14ac:dyDescent="0.25">
      <c r="A22" s="26" t="s">
        <v>403</v>
      </c>
      <c r="B22" s="7" t="s">
        <v>108</v>
      </c>
      <c r="C22" s="74">
        <v>0</v>
      </c>
    </row>
    <row r="23" spans="1:3" x14ac:dyDescent="0.25">
      <c r="A23" s="25" t="s">
        <v>402</v>
      </c>
      <c r="B23" s="5" t="s">
        <v>109</v>
      </c>
      <c r="C23" s="75">
        <v>1</v>
      </c>
    </row>
    <row r="24" spans="1:3" ht="17.25" thickBot="1" x14ac:dyDescent="0.3">
      <c r="A24" s="27" t="s">
        <v>404</v>
      </c>
      <c r="B24" s="8" t="s">
        <v>110</v>
      </c>
      <c r="C24" s="76">
        <v>27</v>
      </c>
    </row>
    <row r="25" spans="1:3" x14ac:dyDescent="0.25">
      <c r="A25" s="25" t="s">
        <v>51</v>
      </c>
      <c r="B25" s="5" t="s">
        <v>111</v>
      </c>
      <c r="C25" s="75">
        <v>1</v>
      </c>
    </row>
    <row r="26" spans="1:3" x14ac:dyDescent="0.25">
      <c r="A26" s="25" t="s">
        <v>52</v>
      </c>
      <c r="B26" s="5" t="s">
        <v>112</v>
      </c>
      <c r="C26" s="75">
        <v>3</v>
      </c>
    </row>
    <row r="27" spans="1:3" ht="17.25" thickBot="1" x14ac:dyDescent="0.3">
      <c r="A27" s="27" t="s">
        <v>405</v>
      </c>
      <c r="B27" s="8" t="s">
        <v>113</v>
      </c>
      <c r="C27" s="76">
        <v>7</v>
      </c>
    </row>
    <row r="28" spans="1:3" x14ac:dyDescent="0.25">
      <c r="A28" s="26" t="s">
        <v>377</v>
      </c>
      <c r="B28" s="7" t="s">
        <v>379</v>
      </c>
      <c r="C28" s="9"/>
    </row>
    <row r="29" spans="1:3" ht="17.25" thickBot="1" x14ac:dyDescent="0.3">
      <c r="A29" s="27" t="s">
        <v>378</v>
      </c>
      <c r="B29" s="8" t="s">
        <v>380</v>
      </c>
      <c r="C29" s="10"/>
    </row>
    <row r="30" spans="1:3" x14ac:dyDescent="0.25">
      <c r="A30" s="26" t="s">
        <v>142</v>
      </c>
      <c r="B30" s="7" t="s">
        <v>116</v>
      </c>
      <c r="C30" s="9"/>
    </row>
    <row r="31" spans="1:3" ht="17.25" thickBot="1" x14ac:dyDescent="0.3">
      <c r="A31" s="27" t="s">
        <v>143</v>
      </c>
      <c r="B31" s="8" t="s">
        <v>117</v>
      </c>
      <c r="C31" s="10"/>
    </row>
    <row r="32" spans="1:3" x14ac:dyDescent="0.25">
      <c r="A32" s="26" t="s">
        <v>146</v>
      </c>
      <c r="B32" s="7" t="s">
        <v>122</v>
      </c>
      <c r="C32" s="9" t="s">
        <v>410</v>
      </c>
    </row>
    <row r="33" spans="1:3" ht="17.25" thickBot="1" x14ac:dyDescent="0.3">
      <c r="A33" s="27" t="s">
        <v>147</v>
      </c>
      <c r="B33" s="8" t="s">
        <v>123</v>
      </c>
      <c r="C33" s="10" t="s">
        <v>411</v>
      </c>
    </row>
    <row r="34" spans="1:3" x14ac:dyDescent="0.25">
      <c r="A34" s="25" t="s">
        <v>381</v>
      </c>
      <c r="B34" s="5" t="s">
        <v>383</v>
      </c>
      <c r="C34" s="9" t="s">
        <v>244</v>
      </c>
    </row>
    <row r="35" spans="1:3" ht="17.25" thickBot="1" x14ac:dyDescent="0.3">
      <c r="A35" s="25" t="s">
        <v>382</v>
      </c>
      <c r="B35" s="5" t="s">
        <v>384</v>
      </c>
      <c r="C35" s="10" t="s">
        <v>244</v>
      </c>
    </row>
    <row r="36" spans="1:3" x14ac:dyDescent="0.25">
      <c r="A36" s="26" t="s">
        <v>134</v>
      </c>
      <c r="B36" s="7" t="s">
        <v>124</v>
      </c>
      <c r="C36" s="9" t="s">
        <v>409</v>
      </c>
    </row>
    <row r="37" spans="1:3" ht="17.25" thickBot="1" x14ac:dyDescent="0.3">
      <c r="A37" s="27" t="s">
        <v>135</v>
      </c>
      <c r="B37" s="8" t="s">
        <v>125</v>
      </c>
      <c r="C37" s="10" t="s">
        <v>406</v>
      </c>
    </row>
    <row r="38" spans="1:3" x14ac:dyDescent="0.25">
      <c r="A38" s="26" t="s">
        <v>138</v>
      </c>
      <c r="B38" s="7" t="s">
        <v>130</v>
      </c>
      <c r="C38" s="9"/>
    </row>
    <row r="39" spans="1:3" ht="17.25" thickBot="1" x14ac:dyDescent="0.3">
      <c r="A39" s="27" t="s">
        <v>139</v>
      </c>
      <c r="B39" s="8" t="s">
        <v>131</v>
      </c>
      <c r="C39" s="10"/>
    </row>
    <row r="40" spans="1:3" ht="231.75" thickBot="1" x14ac:dyDescent="0.3">
      <c r="A40" s="26" t="s">
        <v>60</v>
      </c>
      <c r="B40" s="7" t="s">
        <v>114</v>
      </c>
      <c r="C40" s="11" t="s">
        <v>412</v>
      </c>
    </row>
    <row r="41" spans="1:3" ht="66.75" thickBot="1" x14ac:dyDescent="0.3">
      <c r="A41" s="28" t="s">
        <v>61</v>
      </c>
      <c r="B41" s="12" t="s">
        <v>115</v>
      </c>
      <c r="C41" s="13" t="s">
        <v>395</v>
      </c>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xr:uid="{619C4A43-7E0C-47A5-8BFB-D2AD2BA5573E}">
          <x14:formula1>
            <xm:f>Tablas!$A$2:$A$7</xm:f>
          </x14:formula1>
          <xm:sqref>C41</xm:sqref>
        </x14:dataValidation>
        <x14:dataValidation type="list" allowBlank="1" showInputMessage="1" xr:uid="{3C04FF7D-FB36-4650-A00C-7C8C9E025181}">
          <x14:formula1>
            <xm:f>Tablas!$L$25</xm:f>
          </x14:formula1>
          <xm:sqref>C40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F464D-9489-4499-83A6-0FFC57B0DDBD}">
  <dimension ref="A1:C16"/>
  <sheetViews>
    <sheetView showGridLines="0" workbookViewId="0">
      <selection activeCell="C16" sqref="C16"/>
    </sheetView>
  </sheetViews>
  <sheetFormatPr defaultColWidth="9.140625" defaultRowHeight="16.5" x14ac:dyDescent="0.25"/>
  <cols>
    <col min="1" max="1" width="52.5703125" style="5" bestFit="1" customWidth="1"/>
    <col min="2" max="2" width="30.28515625" style="14" hidden="1" customWidth="1"/>
    <col min="3" max="3" width="48.28515625" style="5" customWidth="1"/>
    <col min="4" max="16384" width="9.140625" style="5"/>
  </cols>
  <sheetData>
    <row r="1" spans="1:3" s="4" customFormat="1" ht="21" thickBot="1" x14ac:dyDescent="0.3">
      <c r="A1" s="1" t="s">
        <v>41</v>
      </c>
      <c r="B1" s="2" t="s">
        <v>9</v>
      </c>
      <c r="C1" s="3" t="s">
        <v>10</v>
      </c>
    </row>
    <row r="2" spans="1:3" ht="17.25" thickBot="1" x14ac:dyDescent="0.3">
      <c r="A2" s="26" t="s">
        <v>148</v>
      </c>
      <c r="B2" s="7" t="s">
        <v>150</v>
      </c>
      <c r="C2" s="72">
        <v>3.61</v>
      </c>
    </row>
    <row r="3" spans="1:3" x14ac:dyDescent="0.25">
      <c r="A3" s="25" t="s">
        <v>149</v>
      </c>
      <c r="B3" s="5" t="s">
        <v>151</v>
      </c>
      <c r="C3" s="72">
        <v>3.68</v>
      </c>
    </row>
    <row r="4" spans="1:3" x14ac:dyDescent="0.25">
      <c r="A4" s="25" t="s">
        <v>320</v>
      </c>
      <c r="B4" s="5" t="s">
        <v>319</v>
      </c>
      <c r="C4" s="6" t="s">
        <v>244</v>
      </c>
    </row>
    <row r="5" spans="1:3" x14ac:dyDescent="0.25">
      <c r="A5" s="24" t="s">
        <v>43</v>
      </c>
      <c r="B5" s="29" t="s">
        <v>152</v>
      </c>
      <c r="C5" s="30" t="str">
        <f>IF((C2-C3)&gt;=0,ROUND((C2-C3)*100,0),"")</f>
        <v/>
      </c>
    </row>
    <row r="6" spans="1:3" ht="17.25" thickBot="1" x14ac:dyDescent="0.3">
      <c r="A6" s="35" t="s">
        <v>44</v>
      </c>
      <c r="B6" s="36" t="s">
        <v>153</v>
      </c>
      <c r="C6" s="37" t="str">
        <f>IF(C5=0,"Permanece",IF(C5="","Baja","Sube"))</f>
        <v>Baja</v>
      </c>
    </row>
    <row r="7" spans="1:3" x14ac:dyDescent="0.25">
      <c r="A7" s="26" t="s">
        <v>403</v>
      </c>
      <c r="B7" s="7" t="s">
        <v>385</v>
      </c>
      <c r="C7" s="74">
        <v>0</v>
      </c>
    </row>
    <row r="8" spans="1:3" x14ac:dyDescent="0.25">
      <c r="A8" s="25" t="s">
        <v>402</v>
      </c>
      <c r="B8" s="5" t="s">
        <v>386</v>
      </c>
      <c r="C8" s="75">
        <v>1</v>
      </c>
    </row>
    <row r="9" spans="1:3" ht="17.25" thickBot="1" x14ac:dyDescent="0.3">
      <c r="A9" s="27" t="s">
        <v>404</v>
      </c>
      <c r="B9" s="8" t="s">
        <v>387</v>
      </c>
      <c r="C9" s="76">
        <v>43</v>
      </c>
    </row>
    <row r="10" spans="1:3" x14ac:dyDescent="0.25">
      <c r="A10" s="25" t="s">
        <v>51</v>
      </c>
      <c r="B10" s="5" t="s">
        <v>388</v>
      </c>
      <c r="C10" s="75">
        <v>1</v>
      </c>
    </row>
    <row r="11" spans="1:3" x14ac:dyDescent="0.25">
      <c r="A11" s="25" t="s">
        <v>52</v>
      </c>
      <c r="B11" s="5" t="s">
        <v>389</v>
      </c>
      <c r="C11" s="75">
        <v>3</v>
      </c>
    </row>
    <row r="12" spans="1:3" ht="17.25" thickBot="1" x14ac:dyDescent="0.3">
      <c r="A12" s="27" t="s">
        <v>405</v>
      </c>
      <c r="B12" s="8" t="s">
        <v>390</v>
      </c>
      <c r="C12" s="76">
        <v>9</v>
      </c>
    </row>
    <row r="13" spans="1:3" x14ac:dyDescent="0.25">
      <c r="A13" s="25" t="s">
        <v>154</v>
      </c>
      <c r="B13" s="5" t="s">
        <v>156</v>
      </c>
      <c r="C13" s="9" t="s">
        <v>401</v>
      </c>
    </row>
    <row r="14" spans="1:3" ht="17.25" thickBot="1" x14ac:dyDescent="0.3">
      <c r="A14" s="25" t="s">
        <v>155</v>
      </c>
      <c r="B14" s="5" t="s">
        <v>157</v>
      </c>
      <c r="C14" s="10" t="s">
        <v>400</v>
      </c>
    </row>
    <row r="15" spans="1:3" ht="149.25" thickBot="1" x14ac:dyDescent="0.3">
      <c r="A15" s="26" t="s">
        <v>60</v>
      </c>
      <c r="B15" s="7" t="s">
        <v>391</v>
      </c>
      <c r="C15" s="11" t="s">
        <v>413</v>
      </c>
    </row>
    <row r="16" spans="1:3" ht="50.25" thickBot="1" x14ac:dyDescent="0.3">
      <c r="A16" s="28" t="s">
        <v>61</v>
      </c>
      <c r="B16" s="12" t="s">
        <v>392</v>
      </c>
      <c r="C16" s="13" t="s">
        <v>356</v>
      </c>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xr:uid="{CB07A3A1-E957-443D-BA3B-C8739971E1B2}">
          <x14:formula1>
            <xm:f>Tablas!$L$25</xm:f>
          </x14:formula1>
          <xm:sqref>C15</xm:sqref>
        </x14:dataValidation>
        <x14:dataValidation type="list" allowBlank="1" showInputMessage="1" xr:uid="{4F9037B6-004D-4786-812A-241DE34D38BA}">
          <x14:formula1>
            <xm:f>Tablas!$A$2:$A$7</xm:f>
          </x14:formula1>
          <xm:sqref>C16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5F922-1445-4239-A643-A9F5E09853DC}">
  <dimension ref="A1:D37"/>
  <sheetViews>
    <sheetView tabSelected="1" workbookViewId="0">
      <selection activeCell="C37" sqref="C37"/>
    </sheetView>
  </sheetViews>
  <sheetFormatPr defaultColWidth="9.140625" defaultRowHeight="16.5" x14ac:dyDescent="0.25"/>
  <cols>
    <col min="1" max="1" width="52.5703125" style="5" bestFit="1" customWidth="1"/>
    <col min="2" max="2" width="30.28515625" style="14" hidden="1" customWidth="1"/>
    <col min="3" max="3" width="48.28515625" style="5" customWidth="1"/>
    <col min="4" max="4" width="12" style="5" customWidth="1"/>
    <col min="5" max="16384" width="9.140625" style="5"/>
  </cols>
  <sheetData>
    <row r="1" spans="1:4" s="4" customFormat="1" ht="21" thickBot="1" x14ac:dyDescent="0.3">
      <c r="A1" s="1" t="s">
        <v>41</v>
      </c>
      <c r="B1" s="2" t="s">
        <v>9</v>
      </c>
      <c r="C1" s="3" t="s">
        <v>10</v>
      </c>
    </row>
    <row r="2" spans="1:4" x14ac:dyDescent="0.25">
      <c r="A2" s="26" t="s">
        <v>178</v>
      </c>
      <c r="B2" s="7" t="s">
        <v>201</v>
      </c>
      <c r="C2" s="72">
        <v>9.1199999999999992</v>
      </c>
    </row>
    <row r="3" spans="1:4" x14ac:dyDescent="0.25">
      <c r="A3" s="25" t="s">
        <v>179</v>
      </c>
      <c r="B3" s="5" t="s">
        <v>202</v>
      </c>
      <c r="C3" s="71">
        <v>9.1199999999999992</v>
      </c>
    </row>
    <row r="4" spans="1:4" x14ac:dyDescent="0.25">
      <c r="A4" s="25" t="s">
        <v>303</v>
      </c>
      <c r="B4" s="5" t="s">
        <v>304</v>
      </c>
      <c r="C4" s="6" t="s">
        <v>244</v>
      </c>
    </row>
    <row r="5" spans="1:4" x14ac:dyDescent="0.25">
      <c r="A5" s="24" t="s">
        <v>43</v>
      </c>
      <c r="B5" s="29" t="s">
        <v>203</v>
      </c>
      <c r="C5" s="30">
        <f>IF((C2-C3)&gt;=0,ROUND((C2-C3)*100,0),"")</f>
        <v>0</v>
      </c>
      <c r="D5" s="55"/>
    </row>
    <row r="6" spans="1:4" ht="17.25" thickBot="1" x14ac:dyDescent="0.3">
      <c r="A6" s="35" t="s">
        <v>44</v>
      </c>
      <c r="B6" s="36" t="s">
        <v>204</v>
      </c>
      <c r="C6" s="37" t="str">
        <f>IF(C5=0,"Permanece",IF(C5="","Baja","Sube"))</f>
        <v>Permanece</v>
      </c>
    </row>
    <row r="7" spans="1:4" x14ac:dyDescent="0.25">
      <c r="A7" s="26" t="s">
        <v>176</v>
      </c>
      <c r="B7" s="7" t="s">
        <v>205</v>
      </c>
      <c r="C7" s="72">
        <v>6.74</v>
      </c>
    </row>
    <row r="8" spans="1:4" x14ac:dyDescent="0.25">
      <c r="A8" s="25" t="s">
        <v>177</v>
      </c>
      <c r="B8" s="5" t="s">
        <v>206</v>
      </c>
      <c r="C8" s="71">
        <v>6.74</v>
      </c>
    </row>
    <row r="9" spans="1:4" x14ac:dyDescent="0.25">
      <c r="A9" s="25" t="s">
        <v>305</v>
      </c>
      <c r="B9" s="5" t="s">
        <v>306</v>
      </c>
      <c r="C9" s="6" t="s">
        <v>244</v>
      </c>
    </row>
    <row r="10" spans="1:4" x14ac:dyDescent="0.25">
      <c r="A10" s="24" t="s">
        <v>43</v>
      </c>
      <c r="B10" s="29" t="s">
        <v>207</v>
      </c>
      <c r="C10" s="30">
        <f>IF((C7-C8)&gt;=0,ROUND((C7-C8)*100,0),"")</f>
        <v>0</v>
      </c>
      <c r="D10" s="55"/>
    </row>
    <row r="11" spans="1:4" ht="17.25" thickBot="1" x14ac:dyDescent="0.3">
      <c r="A11" s="35" t="s">
        <v>44</v>
      </c>
      <c r="B11" s="36" t="s">
        <v>208</v>
      </c>
      <c r="C11" s="37" t="str">
        <f>IF(C10=0,"Permanece",IF(C10="","Baja","Sube"))</f>
        <v>Permanece</v>
      </c>
    </row>
    <row r="12" spans="1:4" x14ac:dyDescent="0.25">
      <c r="A12" s="25" t="s">
        <v>184</v>
      </c>
      <c r="B12" s="5" t="s">
        <v>172</v>
      </c>
      <c r="C12" s="72">
        <v>11.84</v>
      </c>
    </row>
    <row r="13" spans="1:4" x14ac:dyDescent="0.25">
      <c r="A13" s="25" t="s">
        <v>185</v>
      </c>
      <c r="B13" s="5" t="s">
        <v>173</v>
      </c>
      <c r="C13" s="71">
        <v>11.84</v>
      </c>
    </row>
    <row r="14" spans="1:4" x14ac:dyDescent="0.25">
      <c r="A14" s="25" t="s">
        <v>307</v>
      </c>
      <c r="B14" s="5" t="s">
        <v>308</v>
      </c>
      <c r="C14" s="6" t="s">
        <v>244</v>
      </c>
    </row>
    <row r="15" spans="1:4" x14ac:dyDescent="0.25">
      <c r="A15" s="24" t="s">
        <v>43</v>
      </c>
      <c r="B15" s="29" t="s">
        <v>174</v>
      </c>
      <c r="C15" s="30">
        <f>IF((C12-C13)&gt;=0,ROUND((C12-C13)*100,0),"")</f>
        <v>0</v>
      </c>
    </row>
    <row r="16" spans="1:4" ht="17.25" thickBot="1" x14ac:dyDescent="0.3">
      <c r="A16" s="24" t="s">
        <v>44</v>
      </c>
      <c r="B16" s="29" t="s">
        <v>175</v>
      </c>
      <c r="C16" s="37" t="str">
        <f>IF(C15=0,"Permanece",IF(C15="","Baja","Sube"))</f>
        <v>Permanece</v>
      </c>
    </row>
    <row r="17" spans="1:4" x14ac:dyDescent="0.25">
      <c r="A17" s="26" t="s">
        <v>180</v>
      </c>
      <c r="B17" s="7" t="s">
        <v>209</v>
      </c>
      <c r="C17" s="72">
        <v>6.27</v>
      </c>
    </row>
    <row r="18" spans="1:4" x14ac:dyDescent="0.25">
      <c r="A18" s="25" t="s">
        <v>181</v>
      </c>
      <c r="B18" s="5" t="s">
        <v>210</v>
      </c>
      <c r="C18" s="71">
        <v>6.27</v>
      </c>
    </row>
    <row r="19" spans="1:4" x14ac:dyDescent="0.25">
      <c r="A19" s="25" t="s">
        <v>309</v>
      </c>
      <c r="B19" s="5" t="s">
        <v>310</v>
      </c>
      <c r="C19" s="6" t="s">
        <v>393</v>
      </c>
    </row>
    <row r="20" spans="1:4" x14ac:dyDescent="0.25">
      <c r="A20" s="24" t="s">
        <v>43</v>
      </c>
      <c r="B20" s="29" t="s">
        <v>211</v>
      </c>
      <c r="C20" s="30">
        <f>IF((C17-C18)&gt;=0,ROUND((C17-C18)*100,0),"")</f>
        <v>0</v>
      </c>
    </row>
    <row r="21" spans="1:4" ht="17.25" thickBot="1" x14ac:dyDescent="0.3">
      <c r="A21" s="35" t="s">
        <v>44</v>
      </c>
      <c r="B21" s="36" t="s">
        <v>212</v>
      </c>
      <c r="C21" s="37" t="str">
        <f>IF(C20=0,"Permanece",IF(C20="","Baja","Sube"))</f>
        <v>Permanece</v>
      </c>
    </row>
    <row r="22" spans="1:4" x14ac:dyDescent="0.25">
      <c r="A22" s="26" t="s">
        <v>182</v>
      </c>
      <c r="B22" s="7" t="s">
        <v>213</v>
      </c>
      <c r="C22" s="72">
        <v>3.02</v>
      </c>
    </row>
    <row r="23" spans="1:4" x14ac:dyDescent="0.25">
      <c r="A23" s="25" t="s">
        <v>183</v>
      </c>
      <c r="B23" s="5" t="s">
        <v>214</v>
      </c>
      <c r="C23" s="71">
        <v>3.02</v>
      </c>
    </row>
    <row r="24" spans="1:4" x14ac:dyDescent="0.25">
      <c r="A24" s="25" t="s">
        <v>311</v>
      </c>
      <c r="B24" s="5" t="s">
        <v>312</v>
      </c>
      <c r="C24" s="6" t="s">
        <v>244</v>
      </c>
    </row>
    <row r="25" spans="1:4" x14ac:dyDescent="0.25">
      <c r="A25" s="24" t="s">
        <v>43</v>
      </c>
      <c r="B25" s="29" t="s">
        <v>215</v>
      </c>
      <c r="C25" s="30">
        <f>IF((C22-C23)&gt;=0,ROUND((C22-C23)*100,0),"")</f>
        <v>0</v>
      </c>
      <c r="D25" s="55"/>
    </row>
    <row r="26" spans="1:4" ht="17.25" thickBot="1" x14ac:dyDescent="0.3">
      <c r="A26" s="35" t="s">
        <v>44</v>
      </c>
      <c r="B26" s="36" t="s">
        <v>216</v>
      </c>
      <c r="C26" s="37" t="str">
        <f>IF(C25=0,"Permanece",IF(C25="","Baja","Sube"))</f>
        <v>Permanece</v>
      </c>
      <c r="D26" s="55"/>
    </row>
    <row r="27" spans="1:4" ht="17.25" thickBot="1" x14ac:dyDescent="0.3">
      <c r="A27" s="25" t="s">
        <v>171</v>
      </c>
      <c r="B27" s="5" t="s">
        <v>170</v>
      </c>
      <c r="C27" s="6" t="s">
        <v>423</v>
      </c>
    </row>
    <row r="28" spans="1:4" x14ac:dyDescent="0.25">
      <c r="A28" s="26" t="s">
        <v>186</v>
      </c>
      <c r="B28" s="7" t="s">
        <v>168</v>
      </c>
      <c r="C28" s="9" t="s">
        <v>427</v>
      </c>
    </row>
    <row r="29" spans="1:4" ht="17.25" thickBot="1" x14ac:dyDescent="0.3">
      <c r="A29" s="27" t="s">
        <v>187</v>
      </c>
      <c r="B29" s="8" t="s">
        <v>169</v>
      </c>
      <c r="C29" s="10" t="s">
        <v>429</v>
      </c>
    </row>
    <row r="30" spans="1:4" x14ac:dyDescent="0.25">
      <c r="A30" s="26" t="s">
        <v>188</v>
      </c>
      <c r="B30" s="7" t="s">
        <v>193</v>
      </c>
      <c r="C30" s="9" t="s">
        <v>428</v>
      </c>
    </row>
    <row r="31" spans="1:4" ht="17.25" thickBot="1" x14ac:dyDescent="0.3">
      <c r="A31" s="27" t="s">
        <v>189</v>
      </c>
      <c r="B31" s="8" t="s">
        <v>194</v>
      </c>
      <c r="C31" s="10" t="s">
        <v>429</v>
      </c>
    </row>
    <row r="32" spans="1:4" x14ac:dyDescent="0.25">
      <c r="A32" s="26" t="s">
        <v>190</v>
      </c>
      <c r="B32" s="7" t="s">
        <v>195</v>
      </c>
      <c r="C32" s="9" t="s">
        <v>430</v>
      </c>
    </row>
    <row r="33" spans="1:3" ht="17.25" thickBot="1" x14ac:dyDescent="0.3">
      <c r="A33" s="27" t="s">
        <v>191</v>
      </c>
      <c r="B33" s="8" t="s">
        <v>196</v>
      </c>
      <c r="C33" s="10" t="s">
        <v>429</v>
      </c>
    </row>
    <row r="34" spans="1:3" x14ac:dyDescent="0.25">
      <c r="A34" s="26" t="s">
        <v>197</v>
      </c>
      <c r="B34" s="7" t="s">
        <v>199</v>
      </c>
      <c r="C34" s="9" t="s">
        <v>432</v>
      </c>
    </row>
    <row r="35" spans="1:3" ht="17.25" thickBot="1" x14ac:dyDescent="0.3">
      <c r="A35" s="27" t="s">
        <v>198</v>
      </c>
      <c r="B35" s="8" t="s">
        <v>200</v>
      </c>
      <c r="C35" s="10" t="s">
        <v>433</v>
      </c>
    </row>
    <row r="36" spans="1:3" ht="248.25" thickBot="1" x14ac:dyDescent="0.3">
      <c r="A36" s="26" t="s">
        <v>60</v>
      </c>
      <c r="B36" s="7" t="s">
        <v>192</v>
      </c>
      <c r="C36" s="11" t="s">
        <v>434</v>
      </c>
    </row>
    <row r="37" spans="1:3" ht="149.25" thickBot="1" x14ac:dyDescent="0.3">
      <c r="A37" s="28" t="s">
        <v>61</v>
      </c>
      <c r="B37" s="12" t="s">
        <v>217</v>
      </c>
      <c r="C37" s="13" t="s">
        <v>431</v>
      </c>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xr:uid="{CF0FF5C7-F59D-473F-A9E4-9E958F0C6BAF}">
          <x14:formula1>
            <xm:f>Tablas!$A$2:$A$7</xm:f>
          </x14:formula1>
          <xm:sqref>C37</xm:sqref>
        </x14:dataValidation>
        <x14:dataValidation type="list" allowBlank="1" showInputMessage="1" xr:uid="{20FBE439-E25B-4237-A27D-A3EF44FD31CC}">
          <x14:formula1>
            <xm:f>Tablas!$L$26</xm:f>
          </x14:formula1>
          <xm:sqref>C36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8158D-7CF5-4621-99AA-4EF5CEB60D57}">
  <dimension ref="A1:C19"/>
  <sheetViews>
    <sheetView workbookViewId="0">
      <selection activeCell="C18" sqref="C18"/>
    </sheetView>
  </sheetViews>
  <sheetFormatPr defaultColWidth="9.140625" defaultRowHeight="16.5" x14ac:dyDescent="0.25"/>
  <cols>
    <col min="1" max="1" width="58.42578125" style="5" bestFit="1" customWidth="1"/>
    <col min="2" max="2" width="30.28515625" style="14" hidden="1" customWidth="1"/>
    <col min="3" max="3" width="48.28515625" style="5" customWidth="1"/>
    <col min="4" max="16384" width="9.140625" style="5"/>
  </cols>
  <sheetData>
    <row r="1" spans="1:3" s="4" customFormat="1" ht="21" thickBot="1" x14ac:dyDescent="0.3">
      <c r="A1" s="1" t="s">
        <v>41</v>
      </c>
      <c r="B1" s="2" t="s">
        <v>9</v>
      </c>
      <c r="C1" s="3" t="s">
        <v>10</v>
      </c>
    </row>
    <row r="2" spans="1:3" x14ac:dyDescent="0.25">
      <c r="A2" s="26" t="s">
        <v>218</v>
      </c>
      <c r="B2" s="7" t="s">
        <v>220</v>
      </c>
      <c r="C2" s="72">
        <v>9.99</v>
      </c>
    </row>
    <row r="3" spans="1:3" x14ac:dyDescent="0.25">
      <c r="A3" s="25" t="s">
        <v>219</v>
      </c>
      <c r="B3" s="5" t="s">
        <v>221</v>
      </c>
      <c r="C3" s="71">
        <v>9.99</v>
      </c>
    </row>
    <row r="4" spans="1:3" x14ac:dyDescent="0.25">
      <c r="A4" s="25" t="s">
        <v>313</v>
      </c>
      <c r="B4" s="5" t="s">
        <v>314</v>
      </c>
      <c r="C4" s="6" t="s">
        <v>244</v>
      </c>
    </row>
    <row r="5" spans="1:3" x14ac:dyDescent="0.25">
      <c r="A5" s="24" t="s">
        <v>43</v>
      </c>
      <c r="B5" s="29" t="s">
        <v>222</v>
      </c>
      <c r="C5" s="30">
        <f>IF((C2-C3)&gt;=0,ROUND((C2-C3)*100,0),"")</f>
        <v>0</v>
      </c>
    </row>
    <row r="6" spans="1:3" ht="17.25" thickBot="1" x14ac:dyDescent="0.3">
      <c r="A6" s="35" t="s">
        <v>44</v>
      </c>
      <c r="B6" s="36" t="s">
        <v>223</v>
      </c>
      <c r="C6" s="37" t="str">
        <f>IF(C5=0,"Permanece",IF(C5="","Baja","Sube"))</f>
        <v>Permanece</v>
      </c>
    </row>
    <row r="7" spans="1:3" x14ac:dyDescent="0.25">
      <c r="A7" s="26" t="s">
        <v>224</v>
      </c>
      <c r="B7" s="7" t="s">
        <v>226</v>
      </c>
      <c r="C7" s="72">
        <v>3.02</v>
      </c>
    </row>
    <row r="8" spans="1:3" x14ac:dyDescent="0.25">
      <c r="A8" s="25" t="s">
        <v>225</v>
      </c>
      <c r="B8" s="5" t="s">
        <v>227</v>
      </c>
      <c r="C8" s="71">
        <v>3.01</v>
      </c>
    </row>
    <row r="9" spans="1:3" x14ac:dyDescent="0.25">
      <c r="A9" s="25" t="s">
        <v>302</v>
      </c>
      <c r="B9" s="5" t="s">
        <v>301</v>
      </c>
      <c r="C9" s="6" t="s">
        <v>244</v>
      </c>
    </row>
    <row r="10" spans="1:3" x14ac:dyDescent="0.25">
      <c r="A10" s="24" t="s">
        <v>43</v>
      </c>
      <c r="B10" s="29" t="s">
        <v>228</v>
      </c>
      <c r="C10" s="30">
        <f>IF((C7-C8)&gt;=0,ROUND((C7-C8)*100,0),"")</f>
        <v>1</v>
      </c>
    </row>
    <row r="11" spans="1:3" ht="17.25" thickBot="1" x14ac:dyDescent="0.3">
      <c r="A11" s="35" t="s">
        <v>44</v>
      </c>
      <c r="B11" s="36" t="s">
        <v>229</v>
      </c>
      <c r="C11" s="37" t="str">
        <f>IF(C10=0,"Permanece",IF(C10="","Baja","Sube"))</f>
        <v>Sube</v>
      </c>
    </row>
    <row r="12" spans="1:3" x14ac:dyDescent="0.25">
      <c r="A12" s="25" t="s">
        <v>230</v>
      </c>
      <c r="B12" s="5" t="s">
        <v>233</v>
      </c>
      <c r="C12" s="6" t="s">
        <v>424</v>
      </c>
    </row>
    <row r="13" spans="1:3" ht="17.25" thickBot="1" x14ac:dyDescent="0.3">
      <c r="A13" s="25" t="s">
        <v>231</v>
      </c>
      <c r="B13" s="5" t="s">
        <v>232</v>
      </c>
      <c r="C13" s="6" t="s">
        <v>425</v>
      </c>
    </row>
    <row r="14" spans="1:3" x14ac:dyDescent="0.25">
      <c r="A14" s="26" t="s">
        <v>238</v>
      </c>
      <c r="B14" s="7" t="s">
        <v>240</v>
      </c>
      <c r="C14" s="9" t="s">
        <v>414</v>
      </c>
    </row>
    <row r="15" spans="1:3" ht="17.25" thickBot="1" x14ac:dyDescent="0.3">
      <c r="A15" s="27" t="s">
        <v>239</v>
      </c>
      <c r="B15" s="8" t="s">
        <v>241</v>
      </c>
      <c r="C15" s="10" t="s">
        <v>415</v>
      </c>
    </row>
    <row r="16" spans="1:3" x14ac:dyDescent="0.25">
      <c r="A16" s="26" t="s">
        <v>236</v>
      </c>
      <c r="B16" s="7" t="s">
        <v>234</v>
      </c>
      <c r="C16" s="9" t="s">
        <v>416</v>
      </c>
    </row>
    <row r="17" spans="1:3" ht="17.25" thickBot="1" x14ac:dyDescent="0.3">
      <c r="A17" s="27" t="s">
        <v>237</v>
      </c>
      <c r="B17" s="8" t="s">
        <v>235</v>
      </c>
      <c r="C17" s="10" t="s">
        <v>417</v>
      </c>
    </row>
    <row r="18" spans="1:3" ht="33.75" thickBot="1" x14ac:dyDescent="0.3">
      <c r="A18" s="26" t="s">
        <v>60</v>
      </c>
      <c r="B18" s="7" t="s">
        <v>242</v>
      </c>
      <c r="C18" s="70" t="s">
        <v>422</v>
      </c>
    </row>
    <row r="19" spans="1:3" ht="50.25" thickBot="1" x14ac:dyDescent="0.3">
      <c r="A19" s="28" t="s">
        <v>61</v>
      </c>
      <c r="B19" s="12" t="s">
        <v>243</v>
      </c>
      <c r="C19" s="13" t="s">
        <v>418</v>
      </c>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xr:uid="{312A962F-B8E4-4BA2-B5D8-8F146944B6DD}">
          <x14:formula1>
            <xm:f>Tablas!$A$2:$A$7</xm:f>
          </x14:formula1>
          <xm:sqref>C19</xm:sqref>
        </x14:dataValidation>
        <x14:dataValidation type="list" allowBlank="1" showInputMessage="1" xr:uid="{84A5E201-9A26-4AA5-938D-DF5311A91175}">
          <x14:formula1>
            <xm:f>Tablas!$L$30</xm:f>
          </x14:formula1>
          <xm:sqref>C18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874F4-C602-4D36-9B06-CCCD4B9EE49C}">
  <dimension ref="A1:C16"/>
  <sheetViews>
    <sheetView showGridLines="0" workbookViewId="0">
      <pane ySplit="1" topLeftCell="A2" activePane="bottomLeft" state="frozen"/>
      <selection pane="bottomLeft" activeCell="C17" sqref="C17"/>
    </sheetView>
  </sheetViews>
  <sheetFormatPr defaultColWidth="9.140625" defaultRowHeight="16.5" x14ac:dyDescent="0.25"/>
  <cols>
    <col min="1" max="1" width="56.5703125" style="5" bestFit="1" customWidth="1"/>
    <col min="2" max="2" width="30.28515625" style="14" hidden="1" customWidth="1"/>
    <col min="3" max="3" width="48.28515625" style="5" customWidth="1"/>
    <col min="4" max="16384" width="9.140625" style="5"/>
  </cols>
  <sheetData>
    <row r="1" spans="1:3" s="4" customFormat="1" ht="21" thickBot="1" x14ac:dyDescent="0.3">
      <c r="A1" s="1" t="s">
        <v>41</v>
      </c>
      <c r="B1" s="2" t="s">
        <v>9</v>
      </c>
      <c r="C1" s="3" t="s">
        <v>10</v>
      </c>
    </row>
    <row r="2" spans="1:3" x14ac:dyDescent="0.25">
      <c r="A2" s="26" t="s">
        <v>357</v>
      </c>
      <c r="B2" s="7" t="s">
        <v>362</v>
      </c>
      <c r="C2" s="72">
        <v>2.06</v>
      </c>
    </row>
    <row r="3" spans="1:3" x14ac:dyDescent="0.25">
      <c r="A3" s="25" t="s">
        <v>358</v>
      </c>
      <c r="B3" s="5" t="s">
        <v>363</v>
      </c>
      <c r="C3" s="71">
        <v>2.0499999999999998</v>
      </c>
    </row>
    <row r="4" spans="1:3" x14ac:dyDescent="0.25">
      <c r="A4" s="25" t="s">
        <v>359</v>
      </c>
      <c r="B4" s="5" t="s">
        <v>364</v>
      </c>
      <c r="C4" s="6" t="s">
        <v>244</v>
      </c>
    </row>
    <row r="5" spans="1:3" x14ac:dyDescent="0.25">
      <c r="A5" s="24" t="s">
        <v>43</v>
      </c>
      <c r="B5" s="29" t="s">
        <v>365</v>
      </c>
      <c r="C5" s="30">
        <f>IF((C2-C3)&gt;=0,ROUND((C2-C3)*100,0),"")</f>
        <v>1</v>
      </c>
    </row>
    <row r="6" spans="1:3" ht="17.25" thickBot="1" x14ac:dyDescent="0.3">
      <c r="A6" s="35" t="s">
        <v>44</v>
      </c>
      <c r="B6" s="36" t="s">
        <v>366</v>
      </c>
      <c r="C6" s="37" t="str">
        <f>IF(C5=0,"Permanece",IF(C5="","Baja","Sube"))</f>
        <v>Sube</v>
      </c>
    </row>
    <row r="7" spans="1:3" x14ac:dyDescent="0.25">
      <c r="A7" s="26" t="s">
        <v>403</v>
      </c>
      <c r="B7" s="7" t="s">
        <v>367</v>
      </c>
      <c r="C7" s="74">
        <v>0</v>
      </c>
    </row>
    <row r="8" spans="1:3" x14ac:dyDescent="0.25">
      <c r="A8" s="25" t="s">
        <v>402</v>
      </c>
      <c r="B8" s="5" t="s">
        <v>368</v>
      </c>
      <c r="C8" s="75">
        <v>1</v>
      </c>
    </row>
    <row r="9" spans="1:3" x14ac:dyDescent="0.25">
      <c r="A9" s="25" t="s">
        <v>404</v>
      </c>
      <c r="B9" s="5" t="s">
        <v>369</v>
      </c>
      <c r="C9" s="75">
        <v>26</v>
      </c>
    </row>
    <row r="10" spans="1:3" x14ac:dyDescent="0.25">
      <c r="A10" s="25" t="s">
        <v>51</v>
      </c>
      <c r="B10" s="5" t="s">
        <v>370</v>
      </c>
      <c r="C10" s="75">
        <v>1</v>
      </c>
    </row>
    <row r="11" spans="1:3" x14ac:dyDescent="0.25">
      <c r="A11" s="25" t="s">
        <v>52</v>
      </c>
      <c r="B11" s="5" t="s">
        <v>371</v>
      </c>
      <c r="C11" s="75">
        <v>2</v>
      </c>
    </row>
    <row r="12" spans="1:3" ht="17.25" thickBot="1" x14ac:dyDescent="0.3">
      <c r="A12" s="27" t="s">
        <v>405</v>
      </c>
      <c r="B12" s="8" t="s">
        <v>372</v>
      </c>
      <c r="C12" s="76">
        <v>8</v>
      </c>
    </row>
    <row r="13" spans="1:3" x14ac:dyDescent="0.25">
      <c r="A13" s="26" t="s">
        <v>360</v>
      </c>
      <c r="B13" s="7" t="s">
        <v>374</v>
      </c>
      <c r="C13" s="9" t="s">
        <v>398</v>
      </c>
    </row>
    <row r="14" spans="1:3" ht="17.25" thickBot="1" x14ac:dyDescent="0.3">
      <c r="A14" s="27" t="s">
        <v>361</v>
      </c>
      <c r="B14" s="8" t="s">
        <v>373</v>
      </c>
      <c r="C14" s="10" t="s">
        <v>399</v>
      </c>
    </row>
    <row r="15" spans="1:3" ht="165.75" thickBot="1" x14ac:dyDescent="0.3">
      <c r="A15" s="26" t="s">
        <v>60</v>
      </c>
      <c r="B15" s="7" t="s">
        <v>375</v>
      </c>
      <c r="C15" s="11" t="s">
        <v>419</v>
      </c>
    </row>
    <row r="16" spans="1:3" ht="66.75" thickBot="1" x14ac:dyDescent="0.3">
      <c r="A16" s="28" t="s">
        <v>61</v>
      </c>
      <c r="B16" s="12" t="s">
        <v>376</v>
      </c>
      <c r="C16" s="13" t="s">
        <v>420</v>
      </c>
    </row>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xr:uid="{E0C1EDD8-69C1-437F-95B8-A9746EDF6452}">
          <x14:formula1>
            <xm:f>Tablas!$L$23</xm:f>
          </x14:formula1>
          <xm:sqref>C15</xm:sqref>
        </x14:dataValidation>
        <x14:dataValidation type="list" allowBlank="1" showInputMessage="1" xr:uid="{26980350-1545-428A-98A8-01DCC1E0202D}">
          <x14:formula1>
            <xm:f>Tablas!$A$2:$A$7</xm:f>
          </x14:formula1>
          <xm:sqref>C16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3B566-6E24-4EBC-9E3F-D2E3A05600BD}">
  <dimension ref="A1:M30"/>
  <sheetViews>
    <sheetView workbookViewId="0">
      <selection activeCell="F7" sqref="F7"/>
    </sheetView>
  </sheetViews>
  <sheetFormatPr defaultColWidth="11.42578125" defaultRowHeight="16.5" x14ac:dyDescent="0.3"/>
  <cols>
    <col min="1" max="1" width="140.85546875" style="45" bestFit="1" customWidth="1"/>
    <col min="2" max="3" width="11.42578125" style="45"/>
    <col min="4" max="4" width="14.85546875" style="45" bestFit="1" customWidth="1"/>
    <col min="5" max="5" width="14.28515625" style="45" bestFit="1" customWidth="1"/>
    <col min="6" max="6" width="91.5703125" style="45" customWidth="1"/>
    <col min="7" max="7" width="16.140625" style="45" hidden="1" customWidth="1"/>
    <col min="8" max="8" width="20.85546875" style="45" hidden="1" customWidth="1"/>
    <col min="9" max="9" width="46.42578125" style="45" bestFit="1" customWidth="1"/>
    <col min="10" max="10" width="48.85546875" style="45" customWidth="1"/>
    <col min="11" max="11" width="45.85546875" style="45" customWidth="1"/>
    <col min="12" max="12" width="103.7109375" style="53" customWidth="1"/>
    <col min="13" max="16384" width="11.42578125" style="45"/>
  </cols>
  <sheetData>
    <row r="1" spans="1:13" x14ac:dyDescent="0.3">
      <c r="A1" s="44" t="s">
        <v>245</v>
      </c>
      <c r="C1" s="44" t="s">
        <v>274</v>
      </c>
      <c r="D1" s="49"/>
      <c r="E1" s="49"/>
      <c r="F1" s="49"/>
      <c r="G1" s="49"/>
      <c r="H1" s="49"/>
      <c r="I1" s="49"/>
      <c r="J1" s="49"/>
      <c r="K1" s="49"/>
      <c r="L1" s="67"/>
      <c r="M1" s="49"/>
    </row>
    <row r="2" spans="1:13" x14ac:dyDescent="0.3">
      <c r="A2" s="45" t="s">
        <v>394</v>
      </c>
      <c r="C2" s="47" t="s">
        <v>259</v>
      </c>
      <c r="D2" s="47" t="s">
        <v>256</v>
      </c>
      <c r="E2" s="47" t="s">
        <v>257</v>
      </c>
      <c r="F2" s="48" t="s">
        <v>246</v>
      </c>
      <c r="G2" s="54"/>
      <c r="H2" s="54"/>
    </row>
    <row r="3" spans="1:13" x14ac:dyDescent="0.3">
      <c r="A3" s="45" t="s">
        <v>395</v>
      </c>
      <c r="C3" s="45" t="s">
        <v>258</v>
      </c>
      <c r="D3" s="45">
        <v>70</v>
      </c>
      <c r="E3" s="45">
        <v>200</v>
      </c>
      <c r="F3" s="45" t="s">
        <v>268</v>
      </c>
      <c r="I3" s="45" t="s">
        <v>293</v>
      </c>
      <c r="J3" s="45" t="s">
        <v>250</v>
      </c>
      <c r="K3" s="45" t="s">
        <v>251</v>
      </c>
    </row>
    <row r="4" spans="1:13" x14ac:dyDescent="0.3">
      <c r="A4" s="45" t="s">
        <v>396</v>
      </c>
      <c r="C4" s="45" t="s">
        <v>258</v>
      </c>
      <c r="D4" s="45">
        <v>30</v>
      </c>
      <c r="E4" s="45">
        <v>100</v>
      </c>
      <c r="F4" s="45" t="s">
        <v>269</v>
      </c>
    </row>
    <row r="5" spans="1:13" x14ac:dyDescent="0.3">
      <c r="A5" s="45" t="s">
        <v>397</v>
      </c>
      <c r="F5" s="45" t="s">
        <v>270</v>
      </c>
    </row>
    <row r="7" spans="1:13" x14ac:dyDescent="0.3">
      <c r="E7" s="47" t="s">
        <v>260</v>
      </c>
      <c r="F7" s="46" t="s">
        <v>247</v>
      </c>
      <c r="G7" s="46"/>
      <c r="H7" s="46"/>
      <c r="I7" s="46"/>
      <c r="J7" s="46"/>
      <c r="K7" s="46"/>
      <c r="L7" s="68"/>
      <c r="M7" s="46"/>
    </row>
    <row r="8" spans="1:13" x14ac:dyDescent="0.3">
      <c r="E8" s="45" t="s">
        <v>295</v>
      </c>
      <c r="F8" s="45" t="s">
        <v>294</v>
      </c>
      <c r="I8" s="45" t="s">
        <v>298</v>
      </c>
      <c r="J8" s="45" t="s">
        <v>352</v>
      </c>
    </row>
    <row r="9" spans="1:13" x14ac:dyDescent="0.3">
      <c r="E9" s="45" t="s">
        <v>296</v>
      </c>
      <c r="I9" s="45" t="s">
        <v>299</v>
      </c>
      <c r="J9" s="45" t="s">
        <v>343</v>
      </c>
    </row>
    <row r="10" spans="1:13" x14ac:dyDescent="0.3">
      <c r="E10" s="45" t="s">
        <v>297</v>
      </c>
      <c r="I10" s="45" t="s">
        <v>300</v>
      </c>
    </row>
    <row r="12" spans="1:13" x14ac:dyDescent="0.3">
      <c r="C12" s="47" t="s">
        <v>261</v>
      </c>
      <c r="D12" s="47" t="s">
        <v>259</v>
      </c>
      <c r="E12" s="47" t="s">
        <v>262</v>
      </c>
      <c r="F12" s="46" t="s">
        <v>248</v>
      </c>
      <c r="G12" s="46"/>
      <c r="H12" s="46"/>
      <c r="I12" s="46"/>
      <c r="J12" s="46"/>
      <c r="K12" s="46"/>
      <c r="L12" s="68"/>
      <c r="M12" s="46"/>
    </row>
    <row r="13" spans="1:13" x14ac:dyDescent="0.3">
      <c r="D13" s="45" t="s">
        <v>258</v>
      </c>
      <c r="F13" s="45" t="s">
        <v>347</v>
      </c>
      <c r="I13" s="45" t="s">
        <v>348</v>
      </c>
    </row>
    <row r="14" spans="1:13" x14ac:dyDescent="0.3">
      <c r="D14" s="45" t="s">
        <v>263</v>
      </c>
      <c r="I14" s="45" t="s">
        <v>350</v>
      </c>
    </row>
    <row r="15" spans="1:13" x14ac:dyDescent="0.3">
      <c r="D15" s="45" t="s">
        <v>264</v>
      </c>
      <c r="I15" s="45" t="s">
        <v>349</v>
      </c>
    </row>
    <row r="17" spans="3:13" x14ac:dyDescent="0.3">
      <c r="C17" s="47" t="s">
        <v>261</v>
      </c>
      <c r="D17" s="47" t="s">
        <v>259</v>
      </c>
      <c r="E17" s="47" t="s">
        <v>262</v>
      </c>
      <c r="F17" s="46" t="s">
        <v>249</v>
      </c>
      <c r="G17" s="46"/>
      <c r="H17" s="46"/>
      <c r="I17" s="46"/>
      <c r="J17" s="46"/>
      <c r="K17" s="46"/>
      <c r="L17" s="68"/>
      <c r="M17" s="46"/>
    </row>
    <row r="18" spans="3:13" x14ac:dyDescent="0.3">
      <c r="F18" s="45" t="s">
        <v>252</v>
      </c>
      <c r="I18" s="45" t="s">
        <v>253</v>
      </c>
    </row>
    <row r="19" spans="3:13" x14ac:dyDescent="0.3">
      <c r="F19" s="45" t="s">
        <v>254</v>
      </c>
      <c r="I19" s="45" t="s">
        <v>255</v>
      </c>
    </row>
    <row r="22" spans="3:13" x14ac:dyDescent="0.3">
      <c r="C22" s="50" t="s">
        <v>275</v>
      </c>
      <c r="D22" s="50" t="s">
        <v>266</v>
      </c>
      <c r="E22" s="50" t="s">
        <v>265</v>
      </c>
      <c r="F22" s="50" t="s">
        <v>289</v>
      </c>
      <c r="G22" s="50"/>
      <c r="H22" s="50"/>
      <c r="I22" s="50" t="s">
        <v>290</v>
      </c>
      <c r="J22" s="50" t="s">
        <v>291</v>
      </c>
      <c r="K22" s="50" t="s">
        <v>292</v>
      </c>
      <c r="L22" s="69" t="s">
        <v>355</v>
      </c>
    </row>
    <row r="23" spans="3:13" s="63" customFormat="1" ht="99" x14ac:dyDescent="0.25">
      <c r="C23" s="63" t="s">
        <v>278</v>
      </c>
      <c r="D23" s="63" t="s">
        <v>277</v>
      </c>
      <c r="E23" s="63" t="s">
        <v>273</v>
      </c>
      <c r="F23" s="52" t="str">
        <f>_xlfn.CONCAT(IF(OR(MAX(YI!C21:C23)&gt;$D$3,SUM(YI!C21:C23)&gt;$E$3),$F$3,IF(OR(MAX(YI!C21:C23)&gt;$D$4,SUM(YI!C21:C23)&gt;$E$4),$F$4,$F$5)),D23,$I$3,SUM(YI!C21:C23),$J$3,MAX(YI!C21:C23),$K$3)</f>
        <v>En las últimas horas se registraron acumulados de precipitación moderados en la cuenca del río Yí, donde en las últimas 72 horas se acumularon 49 mm y con un máximo de 49 mm/día.</v>
      </c>
      <c r="G23" s="52"/>
      <c r="H23" s="52"/>
      <c r="I23" s="52" t="str">
        <f>_xlfn.CONCAT($F$8,D23,IF(YI!C15=$E$8,$I$8,IF(YI!C15=$E$9,$I$9,$I$10)),$J$8,E23,". ")</f>
        <v xml:space="preserve">Actualmente, el nivel del río Yí está en descenso en la ciudad de Durazno. </v>
      </c>
      <c r="J23" s="52" t="str">
        <f>_xlfn.CONCAT(F13,IF(YI!C31&gt;YI!C11,I13, IF(YI!C31=YI!C11,I14, I15)))</f>
        <v xml:space="preserve">Considerando las lluvias pronosticadas y los niveles registrados en las estaciones de monitoreo, existe la posibilidad de nuevos incrementos de nivel en los próximos días. </v>
      </c>
      <c r="K23" s="52" t="str">
        <f>IF(YI!C13="-","",IF(YI!C31&gt;YI!C13,_xlfn.CONCAT(F18,YI!C13,I18),_xlfn.CONCAT(F19,YI!C13,I19)))</f>
        <v xml:space="preserve">Existe una alta probabilidad de que el nivel supere al máximo registrado los días anteriores ( metros). </v>
      </c>
      <c r="L23" s="52" t="str">
        <f>+_xlfn.CONCAT(F23," ",I23, " ",J23," ",K23)</f>
        <v xml:space="preserve">En las últimas horas se registraron acumulados de precipitación moderados en la cuenca del río Yí, donde en las últimas 72 horas se acumularon 49 mm y con un máximo de 49 mm/día. Actualmente, el nivel del río Yí está en descenso en la ciudad de Durazno.  Considerando las lluvias pronosticadas y los niveles registrados en las estaciones de monitoreo, existe la posibilidad de nuevos incrementos de nivel en los próximos días.  Existe una alta probabilidad de que el nivel supere al máximo registrado los días anteriores ( metros). </v>
      </c>
    </row>
    <row r="24" spans="3:13" ht="82.5" x14ac:dyDescent="0.3">
      <c r="C24" s="51" t="s">
        <v>279</v>
      </c>
      <c r="D24" s="51" t="s">
        <v>280</v>
      </c>
      <c r="E24" s="51" t="s">
        <v>272</v>
      </c>
      <c r="F24" s="53" t="str">
        <f>_xlfn.CONCAT(IF(OR(MAX(CUAREIM!C17:C19)&gt;$D$3,SUM(CUAREIM!C17:C19)&gt;$E$3),$F$3,IF(OR(MAX(CUAREIM!C17:C19)&gt;$D$4,SUM(CUAREIM!C17:C19)&gt;$E$4),$F$4,$F$5)),D24,$I$3,SUM(CUAREIM!C17:C19),$J$3,MAX(CUAREIM!C17:C19),$K$3)</f>
        <v>En las últimas horas se registraron acumulados de precipitación moderados en la cuenca del río Cuareim, donde en las últimas 72 horas se acumularon 61 mm y con un máximo de 51 mm/día.</v>
      </c>
      <c r="G24" s="53"/>
      <c r="H24" s="53"/>
      <c r="I24" s="64" t="str">
        <f>_xlfn.CONCAT($F$8,D24,IF(CUAREIM!C16=$E$8,$I$8,IF(CUAREIM!C16=$E$9,$I$9,$I$10)),$J$8,E24,". ")</f>
        <v xml:space="preserve">Actualmente, el nivel del río Cuareim está en descenso en la ciudad de Artigas. </v>
      </c>
      <c r="J24" s="53" t="str">
        <f>_xlfn.CONCAT(F13,IF(CUAREIM!C27&gt;CUAREIM!C12,I13, IF(CUAREIM!C27=CUAREIM!C12,I14, I15)))</f>
        <v xml:space="preserve">Considerando las lluvias pronosticadas y los niveles registrados en las estaciones de monitoreo, existe la posibilidad de nuevos incrementos de nivel en los próximos días. </v>
      </c>
      <c r="K24" s="52" t="str">
        <f>IF(CUAREIM!C14="-","",IF(CUAREIM!C27&gt;CUAREIM!C14,_xlfn.CONCAT(F18,CUAREIM!C14,I18),_xlfn.CONCAT(F19,CUAREIM!C14,I19)))</f>
        <v/>
      </c>
      <c r="L24" s="52" t="str">
        <f t="shared" ref="L24:L30" si="0">+_xlfn.CONCAT(F24," ",I24, " ",J24," ",K24)</f>
        <v xml:space="preserve">En las últimas horas se registraron acumulados de precipitación moderados en la cuenca del río Cuareim, donde en las últimas 72 horas se acumularon 61 mm y con un máximo de 51 mm/día. Actualmente, el nivel del río Cuareim está en descenso en la ciudad de Artigas.  Considerando las lluvias pronosticadas y los niveles registrados en las estaciones de monitoreo, existe la posibilidad de nuevos incrementos de nivel en los próximos días.  </v>
      </c>
    </row>
    <row r="25" spans="3:13" ht="99" x14ac:dyDescent="0.3">
      <c r="C25" s="51" t="s">
        <v>271</v>
      </c>
      <c r="D25" s="51" t="s">
        <v>281</v>
      </c>
      <c r="E25" s="51" t="s">
        <v>271</v>
      </c>
      <c r="F25" s="52" t="str">
        <f>_xlfn.CONCAT(IF(OR(MAX(SANTALUCIA!C22:C24)&gt;$D$3,SUM(SANTALUCIA!C22:C24)&gt;$E$3),$F$3,IF(OR(MAX(SANTALUCIA!C22:C24)&gt;$D$4,SUM(SANTALUCIA!C22:C24)&gt;$E$4),$F$4,$F$5)),D25,$I$3,SUM(SANTALUCIA!C22:C24),$J$3,MAX(SANTALUCIA!C22:C24),$K$3)</f>
        <v>En las últimas horas se registraron bajos acumulados de precipitación en la cuenca del río Santa Lucía, donde en las últimas 72 horas se acumularon 28 mm y con un máximo de 27 mm/día.</v>
      </c>
      <c r="G25" s="52"/>
      <c r="H25" s="52"/>
      <c r="I25" s="64" t="str">
        <f>_xlfn.CONCAT($F$8,D25,IF(SANTALUCIA!C16=$E$8,$I$8,IF(SANTALUCIA!C16=$E$9,$I$9,$I$10)),$J$8,E25,". ")</f>
        <v xml:space="preserve">Actualmente, el nivel del río Santa Lucía está en descenso en la ciudad de Santa Lucía. </v>
      </c>
      <c r="J25" s="53" t="str">
        <f>_xlfn.CONCAT(F13,IF(SANTALUCIA!C36&gt;SANTALUCIA!C12,I13, IF(SANTALUCIA!C36=SANTALUCIA!C12,I14, I15)))</f>
        <v xml:space="preserve">Considerando las lluvias pronosticadas y los niveles registrados en las estaciones de monitoreo, existe la posibilidad de nuevos incrementos de nivel en los próximos días. </v>
      </c>
      <c r="K25" s="53" t="str">
        <f>IF(SANTALUCIA!C14="-","",IF(SANTALUCIA!C36&gt;SANTALUCIA!C14,_xlfn.CONCAT(F18,SANTALUCIA!C14,I18),_xlfn.CONCAT(F19,SANTALUCIA!C14,I19)))</f>
        <v xml:space="preserve">Existe una alta probabilidad de que el nivel supere al máximo registrado los días anteriores ( metros). </v>
      </c>
      <c r="L25" s="52" t="str">
        <f t="shared" si="0"/>
        <v xml:space="preserve">En las últimas horas se registraron bajos acumulados de precipitación en la cuenca del río Santa Lucía, donde en las últimas 72 horas se acumularon 28 mm y con un máximo de 27 mm/día. Actualmente, el nivel del río Santa Lucía está en descenso en la ciudad de Santa Lucía.  Considerando las lluvias pronosticadas y los niveles registrados en las estaciones de monitoreo, existe la posibilidad de nuevos incrementos de nivel en los próximos días.  Existe una alta probabilidad de que el nivel supere al máximo registrado los días anteriores ( metros). </v>
      </c>
    </row>
    <row r="26" spans="3:13" ht="49.5" customHeight="1" x14ac:dyDescent="0.3">
      <c r="C26" s="51" t="s">
        <v>282</v>
      </c>
      <c r="D26" s="51" t="s">
        <v>283</v>
      </c>
      <c r="E26" s="51" t="s">
        <v>284</v>
      </c>
      <c r="F26" s="77" t="e">
        <f>_xlfn.CONCAT(IF(OR(MAX(URUGUAY!#REF!)&gt;$D$3,SUM(URUGUAY!#REF!)&gt;$E$3),$F$3,IF(OR(MAX(URUGUAY!#REF!)&gt;$D$4,SUM(URUGUAY!#REF!)&gt;$E$4),$F$4,$F$5)),D26,$I$3,SUM(URUGUAY!#REF!),$J$3,MAX(URUGUAY!#REF!),$K$3)</f>
        <v>#REF!</v>
      </c>
      <c r="I26" s="64" t="str">
        <f>IF(AND(URUGUAY!$C$11=$E$8,URUGUAY!$C$16=$E$8,URUGUAY!$C$21=$E$8,URUGUAY!$C$26=$E$8),_xlfn.CONCAT($F$8,$D$26,$I$8,$J$9," ",E26,", ",E27,", ",E28," y ",Tablas!E29,"."),IF(AND(URUGUAY!$C$11=$E$9,URUGUAY!$C$16=$E$9,URUGUAY!$C$21=$E$9,URUGUAY!$C$26=$E$9),_xlfn.CONCAT($F$8,$D$26,$I$9,$J$9," ",E26,", ",E27,", ",E28," y ",E29,"."),IF(AND(URUGUAY!$C$11=$E$10,URUGUAY!$C$16=$E$10,URUGUAY!$C$21=$E$10,URUGUAY!$C$26=$E$10),_xlfn.CONCAT($F$8,$D$26,$I$10,$J$9," ",E26,", ",E27,", ",E28," y ",E29,"."),_xlfn.CONCAT($F$8,D26,I27,I28,I29))))</f>
        <v>Actualmente, el nivel del río Uruguay se mantiene constante en las ciudades de Bella Unión, Salto, Paysandú y Fray Bentos.</v>
      </c>
      <c r="J26" s="78" t="str">
        <f>_xlfn.CONCAT(F13,IF(AND(URUGUAY!C28&gt;URUGUAY!C7, URUGUAY!C30&gt;URUGUAY!C12, URUGUAY!C32&gt;URUGUAY!C17, URUGUAY!C34&gt;URUGUAY!C22),I13, IF(AND(URUGUAY!C28=URUGUAY!C7, URUGUAY!C30=URUGUAY!C12, URUGUAY!C32=URUGUAY!C17, URUGUAY!C34=URUGUAY!C22),I14, I15)))</f>
        <v xml:space="preserve">Considerando las lluvias pronosticadas y los niveles registrados en las estaciones de monitoreo, existe la posibilidad de nuevos incrementos de nivel en los próximos días. </v>
      </c>
      <c r="K26" s="78" t="str">
        <f>IF(AND(URUGUAY!C9="-", URUGUAY!C14="-", URUGUAY!C19="-", URUGUAY!C24="-"),"",IF(OR(URUGUAY!C28&gt;URUGUAY!C9, URUGUAY!C30&gt;URUGUAY!C14, URUGUAY!C32&gt;URUGUAY!C19,URUGUAY!C34&gt;URUGUAY!C24),_xlfn.CONCAT(F18,IF(URUGUAY!C9&lt;&gt;"-",_xlfn.CONCAT(URUGUAY!C9,"m en ",E26," "),""), IF(URUGUAY!C14&lt;&gt;"-",_xlfn.CONCAT(URUGUAY!C14, "m en ",E27," "),""),IF(URUGUAY!C19&lt;&gt;"-",_xlfn.CONCAT(URUGUAY!C19,"m en ",E28," "),""),IF(URUGUAY!C24&lt;&gt;"-",_xlfn.CONCAT(URUGUAY!C24,"m en ",E29),""),")."),_xlfn.CONCAT(F19,IF(URUGUAY!C9&lt;&gt;"-",_xlfn.CONCAT(URUGUAY!C9,"m en ",E26," "),""), IF(URUGUAY!C14&lt;&gt;"-",_xlfn.CONCAT(URUGUAY!C14, "m en ",E27," "),""),IF(URUGUAY!C19&lt;&gt;"-",_xlfn.CONCAT(URUGUAY!C19,"m en ",E28," "),""),IF(URUGUAY!C24&lt;&gt;"-",_xlfn.CONCAT(URUGUAY!C24,"m en ",E29),""),", pero no se puede descartar en su totalidad.")))</f>
        <v>Existe una alta probabilidad de que el nivel supere al máximo registrado los días anteriores ( -m en Paysandú ).</v>
      </c>
      <c r="L26" s="78" t="e">
        <f t="shared" si="0"/>
        <v>#REF!</v>
      </c>
    </row>
    <row r="27" spans="3:13" x14ac:dyDescent="0.3">
      <c r="C27" s="51"/>
      <c r="D27" s="51"/>
      <c r="E27" s="51" t="s">
        <v>285</v>
      </c>
      <c r="F27" s="77"/>
      <c r="G27" s="58">
        <f>SUM(URUGUAY!$C$11=Tablas!E8, URUGUAY!$C$16=Tablas!E8,URUGUAY!$C$21=Tablas!E8,URUGUAY!$C$26=Tablas!E8)</f>
        <v>0</v>
      </c>
      <c r="H27" s="59" t="str">
        <f>_xlfn.CONCAT(IF(URUGUAY!$C$11=Tablas!E8,_xlfn.CONCAT(" ",$E$26,),""),IF(URUGUAY!$C$16=Tablas!E8,_xlfn.CONCAT(" ",$E$27),""),IF(URUGUAY!$C$21=Tablas!E8,_xlfn.CONCAT(" ",$E$28),""),IF(URUGUAY!$C$26=Tablas!E8,_xlfn.CONCAT(" ",$E$29),""))</f>
        <v/>
      </c>
      <c r="I27" s="65" t="str">
        <f>_xlfn.CONCAT(I8,IF(G27&gt;1,$J$9,$J$8),H27, IF(G27=4,".", ";"))</f>
        <v xml:space="preserve"> está en ascenso en la ciudad de ;</v>
      </c>
      <c r="J27" s="78"/>
      <c r="K27" s="78"/>
      <c r="L27" s="78"/>
    </row>
    <row r="28" spans="3:13" ht="49.5" x14ac:dyDescent="0.3">
      <c r="C28" s="51"/>
      <c r="D28" s="51"/>
      <c r="E28" s="51" t="s">
        <v>286</v>
      </c>
      <c r="F28" s="77"/>
      <c r="G28" s="58">
        <f>SUM(URUGUAY!$C$11=Tablas!E9, URUGUAY!$C$16=Tablas!E9,URUGUAY!$C$21=Tablas!E9,URUGUAY!$C$26=Tablas!E9)</f>
        <v>4</v>
      </c>
      <c r="H28" s="59" t="str">
        <f>_xlfn.CONCAT(IF(URUGUAY!$C$11=Tablas!E9,_xlfn.CONCAT(" ",$E$26),""),IF(URUGUAY!$C$16=Tablas!E9,_xlfn.CONCAT(" ",$E$27),""),IF(URUGUAY!$C$21=Tablas!E9,_xlfn.CONCAT(" ",$E$28),""),IF(URUGUAY!$C$26=Tablas!E9,_xlfn.CONCAT(" ",$E$29),""))</f>
        <v xml:space="preserve"> Bella Unión Salto Paysandú Fray Bentos</v>
      </c>
      <c r="I28" s="65" t="str">
        <f>_xlfn.CONCAT(I9,IF(G28&gt;1,$J$9,$J$8),H28, IF((G27+G28)=4,".", ";"))</f>
        <v xml:space="preserve"> se mantiene constante en las ciudades de Bella Unión Salto Paysandú Fray Bentos.</v>
      </c>
      <c r="J28" s="78"/>
      <c r="K28" s="78"/>
      <c r="L28" s="78"/>
    </row>
    <row r="29" spans="3:13" x14ac:dyDescent="0.3">
      <c r="C29" s="51"/>
      <c r="D29" s="51"/>
      <c r="E29" s="51" t="s">
        <v>287</v>
      </c>
      <c r="F29" s="77"/>
      <c r="G29" s="58">
        <f>SUM(URUGUAY!$C$11=Tablas!E10, URUGUAY!$C$16=Tablas!E10,URUGUAY!$C$21=Tablas!E10,URUGUAY!$C$26=Tablas!E10)</f>
        <v>0</v>
      </c>
      <c r="H29" s="59" t="str">
        <f>_xlfn.CONCAT(IF(URUGUAY!$C$11=Tablas!E10,_xlfn.CONCAT(" ",$E$26),""),IF(URUGUAY!$C$16=Tablas!E10,_xlfn.CONCAT(" ",$E$27),""),IF(URUGUAY!$C$21=Tablas!E10,_xlfn.CONCAT(" ",$E$28),""),IF(URUGUAY!$C$26=Tablas!E10,_xlfn.CONCAT(" ",$E$29),""))</f>
        <v/>
      </c>
      <c r="I29" s="65" t="str">
        <f>_xlfn.CONCAT(I10,IF(G29&gt;1,$J$9,$J$8),H29, ".")</f>
        <v xml:space="preserve"> está en descenso en la ciudad de .</v>
      </c>
      <c r="J29" s="78"/>
      <c r="K29" s="78"/>
      <c r="L29" s="78"/>
    </row>
    <row r="30" spans="3:13" ht="66" x14ac:dyDescent="0.3">
      <c r="C30" s="51" t="s">
        <v>288</v>
      </c>
      <c r="D30" s="51" t="s">
        <v>288</v>
      </c>
      <c r="E30" s="51" t="s">
        <v>267</v>
      </c>
      <c r="F30" s="52" t="e">
        <f>_xlfn.CONCAT(IF(OR(MAX(NEGRO!#REF!)&gt;$D$3,SUM(NEGRO!#REF!)&gt;$E$3),$F$3,IF(OR(MAX(NEGRO!#REF!)&gt;$D$4,SUM(NEGRO!#REF!)&gt;$E$4),$F$4,$F$5)),D30,$I$3,SUM(NEGRO!#REF!),$J$3,MAX(NEGRO!#REF!),$K$3)</f>
        <v>#REF!</v>
      </c>
      <c r="G30" s="52"/>
      <c r="H30" s="52"/>
      <c r="I30" s="64" t="str">
        <f>_xlfn.CONCAT($F$8,D30,IF(NEGRO!C11=$E$8,$I$8,IF(NEGRO!C11=$E$9,$I$9,$I$10)),$J$8,E30,". ")</f>
        <v xml:space="preserve">Actualmente, el nivel del Río Negro está en ascenso en la ciudad de Mercedes. </v>
      </c>
      <c r="J30" s="53" t="str">
        <f>_xlfn.CONCAT(F13,IF(NEGRO!C16&gt;NEGRO!C7,I13, IF(NEGRO!C16=NEGRO!C7,I14, I15)))</f>
        <v xml:space="preserve">Considerando las lluvias pronosticadas y los niveles registrados en las estaciones de monitoreo, existe la posibilidad de nuevos incrementos de nivel en los próximos días. </v>
      </c>
      <c r="K30" s="66" t="str">
        <f>IF(NEGRO!C9="-","",IF(NEGRO!C16&gt;NEGRO!C9,_xlfn.CONCAT(F18,NEGRO!C9,I18),_xlfn.CONCAT(F19,NEGRO!C9,I19)))</f>
        <v/>
      </c>
      <c r="L30" s="52" t="e">
        <f t="shared" si="0"/>
        <v>#REF!</v>
      </c>
    </row>
  </sheetData>
  <mergeCells count="4">
    <mergeCell ref="F26:F29"/>
    <mergeCell ref="J26:J29"/>
    <mergeCell ref="K26:K29"/>
    <mergeCell ref="L26:L29"/>
  </mergeCells>
  <phoneticPr fontId="7" type="noConversion"/>
  <pageMargins left="0.7" right="0.7" top="0.75" bottom="0.75" header="0.3" footer="0.3"/>
  <pageSetup paperSize="9" orientation="portrait" horizontalDpi="200" verticalDpi="200" r:id="rId1"/>
  <ignoredErrors>
    <ignoredError sqref="F23:F25" formulaRange="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3EC66-79F8-4D4E-901B-5FC0A35308DF}">
  <dimension ref="A1:D7"/>
  <sheetViews>
    <sheetView workbookViewId="0">
      <pane ySplit="1" topLeftCell="A2" activePane="bottomLeft" state="frozen"/>
      <selection pane="bottomLeft" activeCell="D4" sqref="D4"/>
    </sheetView>
  </sheetViews>
  <sheetFormatPr defaultColWidth="11.42578125" defaultRowHeight="15" x14ac:dyDescent="0.25"/>
  <cols>
    <col min="2" max="2" width="12.28515625" bestFit="1" customWidth="1"/>
    <col min="3" max="3" width="94.140625" style="61" customWidth="1"/>
    <col min="4" max="4" width="78.5703125" style="61" customWidth="1"/>
  </cols>
  <sheetData>
    <row r="1" spans="1:4" x14ac:dyDescent="0.25">
      <c r="A1" s="57" t="s">
        <v>335</v>
      </c>
      <c r="B1" s="57" t="s">
        <v>336</v>
      </c>
      <c r="C1" s="60" t="s">
        <v>337</v>
      </c>
      <c r="D1" s="60" t="s">
        <v>344</v>
      </c>
    </row>
    <row r="2" spans="1:4" ht="30" x14ac:dyDescent="0.25">
      <c r="A2" s="56">
        <v>45224</v>
      </c>
      <c r="B2" t="s">
        <v>338</v>
      </c>
      <c r="C2" s="61" t="s">
        <v>339</v>
      </c>
      <c r="D2" s="61" t="s">
        <v>345</v>
      </c>
    </row>
    <row r="3" spans="1:4" ht="45" x14ac:dyDescent="0.25">
      <c r="A3" s="56">
        <v>45224</v>
      </c>
      <c r="B3" t="s">
        <v>338</v>
      </c>
      <c r="C3" s="61" t="s">
        <v>340</v>
      </c>
    </row>
    <row r="4" spans="1:4" ht="45" x14ac:dyDescent="0.25">
      <c r="A4" s="56">
        <v>45224</v>
      </c>
      <c r="B4" t="s">
        <v>338</v>
      </c>
      <c r="C4" s="61" t="s">
        <v>341</v>
      </c>
      <c r="D4" s="61" t="s">
        <v>346</v>
      </c>
    </row>
    <row r="5" spans="1:4" ht="30" x14ac:dyDescent="0.25">
      <c r="A5" s="56">
        <v>45224</v>
      </c>
      <c r="B5" t="s">
        <v>338</v>
      </c>
      <c r="C5" s="61" t="s">
        <v>342</v>
      </c>
    </row>
    <row r="6" spans="1:4" ht="30" x14ac:dyDescent="0.25">
      <c r="A6" s="56">
        <v>45224</v>
      </c>
      <c r="B6" t="s">
        <v>338</v>
      </c>
      <c r="D6" s="62" t="s">
        <v>351</v>
      </c>
    </row>
    <row r="7" spans="1:4" ht="14.45" customHeight="1" x14ac:dyDescent="0.25">
      <c r="A7" s="56">
        <v>45224</v>
      </c>
      <c r="B7" t="s">
        <v>338</v>
      </c>
      <c r="C7" s="61" t="s">
        <v>353</v>
      </c>
      <c r="D7" s="61" t="s">
        <v>354</v>
      </c>
    </row>
  </sheetData>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INICIO</vt:lpstr>
      <vt:lpstr>YI</vt:lpstr>
      <vt:lpstr>CUAREIM</vt:lpstr>
      <vt:lpstr>SANTALUCIA</vt:lpstr>
      <vt:lpstr>SANJOSE</vt:lpstr>
      <vt:lpstr>URUGUAY</vt:lpstr>
      <vt:lpstr>NEGRO</vt:lpstr>
      <vt:lpstr>OLIMAR</vt:lpstr>
      <vt:lpstr>Tablas</vt:lpstr>
      <vt:lpstr>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Valles</dc:creator>
  <cp:lastModifiedBy>Jose Valles</cp:lastModifiedBy>
  <dcterms:created xsi:type="dcterms:W3CDTF">2023-10-10T18:23:33Z</dcterms:created>
  <dcterms:modified xsi:type="dcterms:W3CDTF">2026-10-11T15:46:03Z</dcterms:modified>
</cp:coreProperties>
</file>